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kw\Dropbox\Work\Research\Rod Steward\spine_planner\"/>
    </mc:Choice>
  </mc:AlternateContent>
  <xr:revisionPtr revIDLastSave="0" documentId="13_ncr:1_{0E7F4173-7CDF-4F08-A572-17E460E38DD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crew Options" sheetId="2" r:id="rId1"/>
    <sheet name="Column Definitions" sheetId="3" r:id="rId2"/>
  </sheets>
  <calcPr calcId="181029"/>
</workbook>
</file>

<file path=xl/calcChain.xml><?xml version="1.0" encoding="utf-8"?>
<calcChain xmlns="http://schemas.openxmlformats.org/spreadsheetml/2006/main">
  <c r="I376" i="2" l="1"/>
  <c r="I373" i="2"/>
  <c r="I370" i="2"/>
  <c r="I367" i="2"/>
  <c r="I364" i="2"/>
  <c r="I361" i="2"/>
  <c r="I358" i="2"/>
  <c r="I355" i="2"/>
  <c r="I352" i="2"/>
  <c r="I349" i="2"/>
  <c r="I346" i="2"/>
  <c r="I343" i="2"/>
  <c r="I340" i="2"/>
  <c r="I337" i="2"/>
  <c r="I334" i="2"/>
  <c r="I331" i="2"/>
  <c r="I328" i="2"/>
  <c r="I325" i="2"/>
  <c r="I322" i="2"/>
  <c r="I319" i="2"/>
  <c r="I316" i="2"/>
  <c r="I313" i="2"/>
  <c r="I310" i="2"/>
  <c r="I307" i="2"/>
  <c r="I304" i="2"/>
  <c r="I301" i="2"/>
  <c r="I298" i="2"/>
  <c r="I295" i="2"/>
  <c r="I292" i="2"/>
  <c r="I289" i="2"/>
  <c r="I286" i="2"/>
  <c r="I283" i="2"/>
  <c r="I280" i="2"/>
  <c r="I277" i="2"/>
  <c r="I274" i="2"/>
  <c r="I271" i="2"/>
  <c r="I268" i="2"/>
  <c r="I265" i="2"/>
  <c r="I262" i="2"/>
  <c r="I259" i="2"/>
  <c r="I256" i="2"/>
  <c r="I253" i="2"/>
  <c r="I250" i="2"/>
  <c r="I247" i="2"/>
  <c r="I244" i="2"/>
  <c r="I241" i="2"/>
  <c r="I238" i="2"/>
  <c r="I235" i="2"/>
  <c r="I232" i="2"/>
  <c r="I229" i="2"/>
  <c r="I226" i="2"/>
  <c r="I223" i="2"/>
  <c r="I220" i="2"/>
  <c r="I217" i="2"/>
  <c r="I214" i="2"/>
  <c r="I211" i="2"/>
  <c r="I208" i="2"/>
  <c r="I205" i="2"/>
  <c r="I202" i="2"/>
  <c r="I199" i="2"/>
  <c r="I196" i="2"/>
  <c r="I193" i="2"/>
  <c r="I190" i="2"/>
  <c r="I187" i="2"/>
  <c r="I176" i="2"/>
  <c r="I173" i="2"/>
  <c r="I170" i="2"/>
  <c r="I167" i="2"/>
  <c r="I184" i="2"/>
  <c r="I180" i="2"/>
  <c r="I164" i="2"/>
  <c r="I160" i="2"/>
  <c r="I156" i="2"/>
  <c r="I153" i="2"/>
  <c r="I150" i="2"/>
  <c r="I147" i="2"/>
  <c r="I144" i="2"/>
  <c r="I141" i="2"/>
  <c r="I138" i="2"/>
  <c r="I135" i="2"/>
  <c r="I132" i="2"/>
  <c r="I129" i="2"/>
  <c r="I126" i="2"/>
  <c r="I123" i="2"/>
  <c r="I120" i="2"/>
  <c r="I117" i="2"/>
  <c r="I114" i="2"/>
  <c r="I111" i="2"/>
  <c r="I108" i="2"/>
  <c r="I105" i="2"/>
  <c r="I102" i="2"/>
  <c r="I99" i="2"/>
  <c r="I96" i="2"/>
  <c r="I93" i="2"/>
  <c r="I90" i="2"/>
  <c r="I87" i="2"/>
  <c r="I84" i="2"/>
  <c r="I81" i="2"/>
  <c r="I78" i="2"/>
  <c r="I75" i="2"/>
  <c r="I72" i="2"/>
  <c r="I69" i="2"/>
  <c r="I66" i="2"/>
  <c r="I63" i="2"/>
  <c r="I60" i="2"/>
  <c r="I57" i="2"/>
  <c r="I54" i="2"/>
  <c r="I51" i="2"/>
  <c r="I48" i="2"/>
  <c r="I45" i="2"/>
  <c r="I42" i="2"/>
  <c r="I39" i="2"/>
  <c r="I36" i="2"/>
  <c r="I33" i="2"/>
  <c r="I29" i="2"/>
  <c r="I25" i="2"/>
  <c r="I21" i="2"/>
  <c r="I18" i="2"/>
  <c r="I15" i="2"/>
  <c r="I12" i="2"/>
  <c r="I8" i="2"/>
  <c r="I4" i="2"/>
</calcChain>
</file>

<file path=xl/sharedStrings.xml><?xml version="1.0" encoding="utf-8"?>
<sst xmlns="http://schemas.openxmlformats.org/spreadsheetml/2006/main" count="632" uniqueCount="81">
  <si>
    <t>Diameter (mm)</t>
  </si>
  <si>
    <t>Length (mm)</t>
  </si>
  <si>
    <t>Polyaxial</t>
  </si>
  <si>
    <t>Cannulated Polyaxial</t>
  </si>
  <si>
    <t>Pan #</t>
  </si>
  <si>
    <t>Product #</t>
  </si>
  <si>
    <t>ORT-01-00367</t>
  </si>
  <si>
    <t>ORT-01-00368</t>
  </si>
  <si>
    <t>Quantity in Pan</t>
  </si>
  <si>
    <t>Number of Pans</t>
  </si>
  <si>
    <t>Monoaxial</t>
  </si>
  <si>
    <t>ORT-01-00369</t>
  </si>
  <si>
    <t>ORT-01-00370</t>
  </si>
  <si>
    <t>ORT-01-00371</t>
  </si>
  <si>
    <t>ORT-01-00372</t>
  </si>
  <si>
    <t>ORT-01-00373</t>
  </si>
  <si>
    <t>ORT-01-00374</t>
  </si>
  <si>
    <t>ORT-01-00375</t>
  </si>
  <si>
    <t>ORT-01-00376</t>
  </si>
  <si>
    <t>ORT-01-00377</t>
  </si>
  <si>
    <t>ORT-01-00378</t>
  </si>
  <si>
    <t>ORT-01-00379</t>
  </si>
  <si>
    <t>ORT-01-00462</t>
  </si>
  <si>
    <t>ORT-01-00463</t>
  </si>
  <si>
    <t>ORT-01-00464</t>
  </si>
  <si>
    <t>ORT-01-00465</t>
  </si>
  <si>
    <t>ORT-01-00466</t>
  </si>
  <si>
    <t>ORT-01-00467</t>
  </si>
  <si>
    <t>Stock Location</t>
  </si>
  <si>
    <t>CART #1 5.5/6.0 XIA SLF 1A3</t>
  </si>
  <si>
    <t>CART #1 5.5/6.0 XIA SLF 1A4</t>
  </si>
  <si>
    <t>CART #1 5.5/6.0 XIA SLF 1A5</t>
  </si>
  <si>
    <t>CART #1 5.5/6.0 XIA SLF 1A6</t>
  </si>
  <si>
    <t>CART #1 5.5/6.0 XIA SLF 1A7</t>
  </si>
  <si>
    <t>CART #1 5.5/6.0 XIA SLF 1A8</t>
  </si>
  <si>
    <t>CART #1 5.5/6.0 XIA SLF 1A9</t>
  </si>
  <si>
    <t>CART #1 5.5/6.0 XIA SLF 1A10</t>
  </si>
  <si>
    <t>CART #1 5.5/6.0 XIA SLF 1A11</t>
  </si>
  <si>
    <t>CART #1 5.5/6.0 XIA SLF 1A12</t>
  </si>
  <si>
    <t>CART #1 5.5/6.0 XIA SLF 1A13</t>
  </si>
  <si>
    <t>CART #1 5.5/6.0 XIA SLF 1A14</t>
  </si>
  <si>
    <t>CART #1 5.5/6.0 XIA SLF 1A15</t>
  </si>
  <si>
    <t>CART #1 5.5/6.0 XIA SLF 1A16</t>
  </si>
  <si>
    <t>CART #1 5.5/6.0 XIA SLF 1A17</t>
  </si>
  <si>
    <t>CART #1 5.5/6.0 XIA SLF 1A18</t>
  </si>
  <si>
    <t>CART #1 5.5/6.0 XIA SLF 1A19</t>
  </si>
  <si>
    <t>CART #1 5.5/6.0 XIA SLF 1A20</t>
  </si>
  <si>
    <t>CART #1 5.5/6.0 XIA SLF 1A21</t>
  </si>
  <si>
    <t>CART #1 5.5/6.0 XIA SLF 1A22</t>
  </si>
  <si>
    <t>CART #1 5.5/6.0 XIA SLF 1A23</t>
  </si>
  <si>
    <t>CART #1 5.5/6.0 XIA SLF 1A24</t>
  </si>
  <si>
    <t>CART #1 5.5/6.0 XIA SLF 1A25</t>
  </si>
  <si>
    <t>CART #1 5.5/6.0 XIA SLF 1A26</t>
  </si>
  <si>
    <t>CART #1 5.5/6.0 XIA SLF 1A27</t>
  </si>
  <si>
    <t>Type (Monoaxial/Polyaxial/Cannulated)</t>
  </si>
  <si>
    <t>ORT-01-00364</t>
  </si>
  <si>
    <t>ORT-01-00365</t>
  </si>
  <si>
    <t>ORT-01-00504</t>
  </si>
  <si>
    <t>XIA CART 1</t>
  </si>
  <si>
    <t>NA</t>
  </si>
  <si>
    <t>CART#2 5.5/6.0 XIA TI SLF 2A6</t>
  </si>
  <si>
    <t>CART#1 5.5/6.0 XIA TI SLF 1B2</t>
  </si>
  <si>
    <t>CART#2 5.5/6.0 XIA TI SLF 2B6</t>
  </si>
  <si>
    <t>Total in Hospital</t>
  </si>
  <si>
    <t>Column Title</t>
  </si>
  <si>
    <t>Definition</t>
  </si>
  <si>
    <t>Variables</t>
  </si>
  <si>
    <t>Type of Pedicle Screw</t>
  </si>
  <si>
    <t>Monoaxial/Polyaxial/Cannulated</t>
  </si>
  <si>
    <t>Pedicle Screw Diameter in millimetres</t>
  </si>
  <si>
    <t>Pedicle Screw Length in millimetres</t>
  </si>
  <si>
    <t>Product number of Surgical Tray in which the Pedicle Screw is kept</t>
  </si>
  <si>
    <t>Location of the Surgical Tray in which the Pedicle Screw is kept</t>
  </si>
  <si>
    <t xml:space="preserve">Pan number of Surgical Tray in which the Pedicle Screw is kept </t>
  </si>
  <si>
    <t>Number of pedicle screws in that pan</t>
  </si>
  <si>
    <t>Number of that particular pan in the hospital</t>
  </si>
  <si>
    <t>Total number of that type/diameter/length pedicle screw in the hospital</t>
  </si>
  <si>
    <t>Type (Monoaxial/Polyaxial/Cannulated/Uniaxial)</t>
  </si>
  <si>
    <t>Uniplanar</t>
  </si>
  <si>
    <t>ORT-01-00544</t>
  </si>
  <si>
    <t>CART#1 5.5/6.0 XIA TI SLF 1A1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</si>
</sst>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/>
    <xf numFmtId="0" fontId="1" fillId="0" borderId="3" xfId="0" applyFont="1" applyBorder="1" applyAlignment="1">
      <alignment horizontal="center" vertical="top"/>
    </xf>
    <xf numFmtId="0" fontId="3" fillId="0" borderId="0" xfId="0" applyFont="1"/>
    <xf numFmtId="0" fontId="1" fillId="2" borderId="0" xfId="0" applyFont="1" applyFill="1"/>
    <xf numFmtId="0" fontId="4" fillId="2" borderId="0" xfId="0" applyFont="1" applyFill="1"/>
    <xf numFmtId="0" fontId="0" fillId="2" borderId="0" xfId="0" applyFill="1"/>
    <xf numFmtId="0" fontId="1" fillId="0" borderId="1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05BD5-9D53-4932-B7A9-1CAA46AE62A9}">
  <dimension ref="A1:I419"/>
  <sheetViews>
    <sheetView tabSelected="1" workbookViewId="0">
      <pane ySplit="1" topLeftCell="A398" activePane="bottomLeft" state="frozen"/>
      <selection pane="bottomLeft" activeCell="A398" sqref="A398:XFD398"/>
    </sheetView>
  </sheetViews>
  <sheetFormatPr defaultRowHeight="14.5" x14ac:dyDescent="0.35"/>
  <cols>
    <col min="1" max="1" width="46.36328125" customWidth="1"/>
    <col min="2" max="2" width="13.6328125" customWidth="1"/>
    <col min="3" max="3" width="12.7265625" customWidth="1"/>
    <col min="4" max="4" width="17.81640625" customWidth="1"/>
    <col min="5" max="5" width="31" customWidth="1"/>
    <col min="6" max="6" width="8.90625" customWidth="1"/>
    <col min="7" max="7" width="16.81640625" customWidth="1"/>
    <col min="8" max="8" width="15.08984375" customWidth="1"/>
    <col min="9" max="9" width="20.81640625" customWidth="1"/>
  </cols>
  <sheetData>
    <row r="1" spans="1:9" x14ac:dyDescent="0.35">
      <c r="A1" s="3" t="s">
        <v>77</v>
      </c>
      <c r="B1" s="1" t="s">
        <v>0</v>
      </c>
      <c r="C1" s="1" t="s">
        <v>1</v>
      </c>
      <c r="D1" s="4" t="s">
        <v>5</v>
      </c>
      <c r="E1" s="4" t="s">
        <v>28</v>
      </c>
      <c r="F1" s="2" t="s">
        <v>4</v>
      </c>
      <c r="G1" s="2" t="s">
        <v>8</v>
      </c>
      <c r="H1" s="4" t="s">
        <v>9</v>
      </c>
      <c r="I1" s="4" t="s">
        <v>63</v>
      </c>
    </row>
    <row r="2" spans="1:9" x14ac:dyDescent="0.35">
      <c r="A2" t="s">
        <v>10</v>
      </c>
      <c r="B2">
        <v>4</v>
      </c>
      <c r="C2">
        <v>20</v>
      </c>
      <c r="D2" t="s">
        <v>55</v>
      </c>
      <c r="E2" t="s">
        <v>60</v>
      </c>
      <c r="F2">
        <v>9</v>
      </c>
      <c r="G2">
        <v>2</v>
      </c>
      <c r="H2">
        <v>2</v>
      </c>
    </row>
    <row r="3" spans="1:9" x14ac:dyDescent="0.35">
      <c r="A3" t="s">
        <v>10</v>
      </c>
      <c r="B3">
        <v>4</v>
      </c>
      <c r="C3">
        <v>20</v>
      </c>
      <c r="D3" s="5" t="s">
        <v>57</v>
      </c>
      <c r="E3" s="5" t="s">
        <v>58</v>
      </c>
      <c r="F3" t="s">
        <v>59</v>
      </c>
      <c r="G3">
        <v>8</v>
      </c>
      <c r="H3">
        <v>1</v>
      </c>
    </row>
    <row r="4" spans="1:9" s="6" customFormat="1" x14ac:dyDescent="0.35">
      <c r="A4" s="6" t="s">
        <v>10</v>
      </c>
      <c r="B4" s="6">
        <v>4</v>
      </c>
      <c r="C4" s="6">
        <v>20</v>
      </c>
      <c r="D4" s="7"/>
      <c r="E4" s="7"/>
      <c r="I4" s="6">
        <f>(G2*H2)+(G3*H3)</f>
        <v>12</v>
      </c>
    </row>
    <row r="5" spans="1:9" x14ac:dyDescent="0.35">
      <c r="D5" s="5"/>
      <c r="E5" s="5"/>
    </row>
    <row r="6" spans="1:9" x14ac:dyDescent="0.35">
      <c r="A6" t="s">
        <v>10</v>
      </c>
      <c r="B6">
        <v>4</v>
      </c>
      <c r="C6">
        <v>25</v>
      </c>
      <c r="D6" s="5" t="s">
        <v>57</v>
      </c>
      <c r="E6" s="5" t="s">
        <v>58</v>
      </c>
      <c r="F6" t="s">
        <v>59</v>
      </c>
      <c r="G6">
        <v>16</v>
      </c>
      <c r="H6">
        <v>1</v>
      </c>
    </row>
    <row r="7" spans="1:9" x14ac:dyDescent="0.35">
      <c r="A7" t="s">
        <v>10</v>
      </c>
      <c r="B7">
        <v>4</v>
      </c>
      <c r="C7">
        <v>25</v>
      </c>
      <c r="D7" t="s">
        <v>55</v>
      </c>
      <c r="E7" t="s">
        <v>60</v>
      </c>
      <c r="F7">
        <v>9</v>
      </c>
      <c r="G7">
        <v>4</v>
      </c>
      <c r="H7">
        <v>2</v>
      </c>
    </row>
    <row r="8" spans="1:9" s="6" customFormat="1" x14ac:dyDescent="0.35">
      <c r="A8" s="6" t="s">
        <v>10</v>
      </c>
      <c r="B8" s="6">
        <v>4</v>
      </c>
      <c r="C8" s="6">
        <v>25</v>
      </c>
      <c r="I8" s="6">
        <f>(G6*H6)+(G7*H7)</f>
        <v>24</v>
      </c>
    </row>
    <row r="10" spans="1:9" x14ac:dyDescent="0.35">
      <c r="A10" t="s">
        <v>10</v>
      </c>
      <c r="B10">
        <v>4</v>
      </c>
      <c r="C10">
        <v>30</v>
      </c>
      <c r="D10" t="s">
        <v>55</v>
      </c>
      <c r="E10" t="s">
        <v>60</v>
      </c>
      <c r="F10">
        <v>9</v>
      </c>
      <c r="G10">
        <v>4</v>
      </c>
      <c r="H10">
        <v>2</v>
      </c>
    </row>
    <row r="11" spans="1:9" x14ac:dyDescent="0.35">
      <c r="A11" t="s">
        <v>10</v>
      </c>
      <c r="B11">
        <v>4</v>
      </c>
      <c r="C11">
        <v>30</v>
      </c>
      <c r="D11" s="5" t="s">
        <v>57</v>
      </c>
      <c r="E11" s="5" t="s">
        <v>58</v>
      </c>
      <c r="F11" t="s">
        <v>59</v>
      </c>
      <c r="G11">
        <v>8</v>
      </c>
      <c r="H11">
        <v>1</v>
      </c>
    </row>
    <row r="12" spans="1:9" s="6" customFormat="1" x14ac:dyDescent="0.35">
      <c r="A12" s="6" t="s">
        <v>10</v>
      </c>
      <c r="B12" s="6">
        <v>4</v>
      </c>
      <c r="C12" s="6">
        <v>30</v>
      </c>
      <c r="D12" s="7"/>
      <c r="E12" s="7"/>
      <c r="I12" s="6">
        <f>(G10*H10)+(G11*H11)</f>
        <v>16</v>
      </c>
    </row>
    <row r="13" spans="1:9" x14ac:dyDescent="0.35">
      <c r="D13" s="5"/>
      <c r="E13" s="5"/>
    </row>
    <row r="14" spans="1:9" x14ac:dyDescent="0.35">
      <c r="A14" t="s">
        <v>10</v>
      </c>
      <c r="B14">
        <v>4</v>
      </c>
      <c r="C14">
        <v>35</v>
      </c>
      <c r="D14" t="s">
        <v>55</v>
      </c>
      <c r="E14" t="s">
        <v>60</v>
      </c>
      <c r="F14">
        <v>9</v>
      </c>
      <c r="G14">
        <v>4</v>
      </c>
      <c r="H14">
        <v>2</v>
      </c>
    </row>
    <row r="15" spans="1:9" s="6" customFormat="1" x14ac:dyDescent="0.35">
      <c r="A15" s="6" t="s">
        <v>10</v>
      </c>
      <c r="B15" s="6">
        <v>4</v>
      </c>
      <c r="C15" s="6">
        <v>35</v>
      </c>
      <c r="I15" s="6">
        <f>(G14*H14)</f>
        <v>8</v>
      </c>
    </row>
    <row r="17" spans="1:9" x14ac:dyDescent="0.35">
      <c r="A17" t="s">
        <v>10</v>
      </c>
      <c r="B17">
        <v>4</v>
      </c>
      <c r="C17">
        <v>40</v>
      </c>
      <c r="D17" t="s">
        <v>55</v>
      </c>
      <c r="E17" t="s">
        <v>60</v>
      </c>
      <c r="F17">
        <v>9</v>
      </c>
      <c r="G17">
        <v>4</v>
      </c>
      <c r="H17">
        <v>2</v>
      </c>
    </row>
    <row r="18" spans="1:9" s="6" customFormat="1" x14ac:dyDescent="0.35">
      <c r="A18" s="6" t="s">
        <v>10</v>
      </c>
      <c r="B18" s="6">
        <v>4</v>
      </c>
      <c r="C18" s="6">
        <v>40</v>
      </c>
      <c r="I18" s="6">
        <f>(G17*H17)</f>
        <v>8</v>
      </c>
    </row>
    <row r="20" spans="1:9" x14ac:dyDescent="0.35">
      <c r="A20" t="s">
        <v>10</v>
      </c>
      <c r="B20">
        <v>4</v>
      </c>
      <c r="C20">
        <v>45</v>
      </c>
      <c r="D20" t="s">
        <v>55</v>
      </c>
      <c r="E20" t="s">
        <v>60</v>
      </c>
      <c r="F20">
        <v>9</v>
      </c>
      <c r="G20">
        <v>4</v>
      </c>
      <c r="H20">
        <v>2</v>
      </c>
    </row>
    <row r="21" spans="1:9" s="6" customFormat="1" x14ac:dyDescent="0.35">
      <c r="A21" s="6" t="s">
        <v>10</v>
      </c>
      <c r="B21" s="6">
        <v>4</v>
      </c>
      <c r="C21" s="6">
        <v>45</v>
      </c>
      <c r="I21" s="6">
        <f>(G20*H20)</f>
        <v>8</v>
      </c>
    </row>
    <row r="23" spans="1:9" x14ac:dyDescent="0.35">
      <c r="A23" t="s">
        <v>10</v>
      </c>
      <c r="B23">
        <v>4.5</v>
      </c>
      <c r="C23">
        <v>20</v>
      </c>
      <c r="D23" t="s">
        <v>55</v>
      </c>
      <c r="E23" t="s">
        <v>60</v>
      </c>
      <c r="F23">
        <v>9</v>
      </c>
      <c r="G23">
        <v>2</v>
      </c>
      <c r="H23">
        <v>2</v>
      </c>
    </row>
    <row r="24" spans="1:9" x14ac:dyDescent="0.35">
      <c r="A24" t="s">
        <v>10</v>
      </c>
      <c r="B24">
        <v>4.5</v>
      </c>
      <c r="C24">
        <v>20</v>
      </c>
      <c r="D24" s="5" t="s">
        <v>57</v>
      </c>
      <c r="E24" s="5" t="s">
        <v>58</v>
      </c>
      <c r="F24" t="s">
        <v>59</v>
      </c>
      <c r="G24">
        <v>8</v>
      </c>
      <c r="H24">
        <v>1</v>
      </c>
    </row>
    <row r="25" spans="1:9" s="6" customFormat="1" x14ac:dyDescent="0.35">
      <c r="A25" s="6" t="s">
        <v>10</v>
      </c>
      <c r="B25" s="6">
        <v>4.5</v>
      </c>
      <c r="C25" s="6">
        <v>20</v>
      </c>
      <c r="D25" s="7"/>
      <c r="E25" s="7"/>
      <c r="I25" s="6">
        <f>(G23*H23)+(G24*H24)</f>
        <v>12</v>
      </c>
    </row>
    <row r="27" spans="1:9" x14ac:dyDescent="0.35">
      <c r="A27" t="s">
        <v>10</v>
      </c>
      <c r="B27">
        <v>4.5</v>
      </c>
      <c r="C27">
        <v>25</v>
      </c>
      <c r="D27" t="s">
        <v>55</v>
      </c>
      <c r="E27" t="s">
        <v>60</v>
      </c>
      <c r="F27">
        <v>9</v>
      </c>
      <c r="G27">
        <v>6</v>
      </c>
      <c r="H27">
        <v>2</v>
      </c>
      <c r="I27" s="5"/>
    </row>
    <row r="28" spans="1:9" x14ac:dyDescent="0.35">
      <c r="A28" t="s">
        <v>10</v>
      </c>
      <c r="B28">
        <v>4.5</v>
      </c>
      <c r="C28">
        <v>25</v>
      </c>
      <c r="D28" s="5" t="s">
        <v>57</v>
      </c>
      <c r="E28" s="5" t="s">
        <v>58</v>
      </c>
      <c r="F28" t="s">
        <v>59</v>
      </c>
      <c r="G28">
        <v>16</v>
      </c>
      <c r="H28">
        <v>1</v>
      </c>
    </row>
    <row r="29" spans="1:9" s="6" customFormat="1" x14ac:dyDescent="0.35">
      <c r="A29" s="6" t="s">
        <v>10</v>
      </c>
      <c r="B29" s="6">
        <v>4.5</v>
      </c>
      <c r="C29" s="6">
        <v>25</v>
      </c>
      <c r="D29" s="7"/>
      <c r="E29" s="7"/>
      <c r="I29" s="6">
        <f>(G27*H27)+(G28*H28)</f>
        <v>28</v>
      </c>
    </row>
    <row r="30" spans="1:9" x14ac:dyDescent="0.35">
      <c r="I30" s="5"/>
    </row>
    <row r="31" spans="1:9" x14ac:dyDescent="0.35">
      <c r="A31" t="s">
        <v>10</v>
      </c>
      <c r="B31">
        <v>4.5</v>
      </c>
      <c r="C31">
        <v>30</v>
      </c>
      <c r="D31" t="s">
        <v>55</v>
      </c>
      <c r="E31" t="s">
        <v>60</v>
      </c>
      <c r="F31">
        <v>9</v>
      </c>
      <c r="G31">
        <v>8</v>
      </c>
      <c r="H31">
        <v>2</v>
      </c>
    </row>
    <row r="32" spans="1:9" x14ac:dyDescent="0.35">
      <c r="A32" t="s">
        <v>10</v>
      </c>
      <c r="B32">
        <v>4.5</v>
      </c>
      <c r="C32">
        <v>30</v>
      </c>
      <c r="D32" s="5" t="s">
        <v>57</v>
      </c>
      <c r="E32" s="5" t="s">
        <v>58</v>
      </c>
      <c r="F32" t="s">
        <v>59</v>
      </c>
      <c r="G32">
        <v>8</v>
      </c>
      <c r="H32">
        <v>1</v>
      </c>
    </row>
    <row r="33" spans="1:9" s="6" customFormat="1" x14ac:dyDescent="0.35">
      <c r="A33" s="6" t="s">
        <v>10</v>
      </c>
      <c r="B33" s="6">
        <v>4.5</v>
      </c>
      <c r="C33" s="6">
        <v>30</v>
      </c>
      <c r="D33" s="7"/>
      <c r="E33" s="7"/>
      <c r="I33" s="6">
        <f>(G31*H31)+(G32*H32)</f>
        <v>24</v>
      </c>
    </row>
    <row r="35" spans="1:9" s="5" customFormat="1" x14ac:dyDescent="0.35">
      <c r="A35" t="s">
        <v>10</v>
      </c>
      <c r="B35">
        <v>4.5</v>
      </c>
      <c r="C35">
        <v>35</v>
      </c>
      <c r="D35" t="s">
        <v>55</v>
      </c>
      <c r="E35" t="s">
        <v>60</v>
      </c>
      <c r="F35">
        <v>9</v>
      </c>
      <c r="G35">
        <v>10</v>
      </c>
      <c r="H35">
        <v>2</v>
      </c>
      <c r="I35"/>
    </row>
    <row r="36" spans="1:9" s="7" customFormat="1" x14ac:dyDescent="0.35">
      <c r="A36" s="6" t="s">
        <v>10</v>
      </c>
      <c r="B36" s="6">
        <v>4.5</v>
      </c>
      <c r="C36" s="6">
        <v>35</v>
      </c>
      <c r="D36" s="6"/>
      <c r="E36" s="6"/>
      <c r="F36" s="6"/>
      <c r="G36" s="6"/>
      <c r="H36" s="6"/>
      <c r="I36" s="6">
        <f>(G35*H35)</f>
        <v>20</v>
      </c>
    </row>
    <row r="37" spans="1:9" s="5" customFormat="1" x14ac:dyDescent="0.35">
      <c r="A37"/>
      <c r="B37"/>
      <c r="C37"/>
      <c r="D37"/>
      <c r="E37"/>
      <c r="F37"/>
      <c r="G37"/>
      <c r="H37"/>
      <c r="I37"/>
    </row>
    <row r="38" spans="1:9" x14ac:dyDescent="0.35">
      <c r="A38" t="s">
        <v>10</v>
      </c>
      <c r="B38">
        <v>4.5</v>
      </c>
      <c r="C38">
        <v>40</v>
      </c>
      <c r="D38" t="s">
        <v>55</v>
      </c>
      <c r="E38" t="s">
        <v>60</v>
      </c>
      <c r="F38">
        <v>9</v>
      </c>
      <c r="G38">
        <v>6</v>
      </c>
      <c r="H38">
        <v>2</v>
      </c>
    </row>
    <row r="39" spans="1:9" s="6" customFormat="1" x14ac:dyDescent="0.35">
      <c r="A39" s="6" t="s">
        <v>10</v>
      </c>
      <c r="B39" s="6">
        <v>4.5</v>
      </c>
      <c r="C39" s="6">
        <v>40</v>
      </c>
      <c r="I39" s="6">
        <f>(G38*H38)</f>
        <v>12</v>
      </c>
    </row>
    <row r="41" spans="1:9" x14ac:dyDescent="0.35">
      <c r="A41" t="s">
        <v>10</v>
      </c>
      <c r="B41">
        <v>4.5</v>
      </c>
      <c r="C41">
        <v>45</v>
      </c>
      <c r="D41" t="s">
        <v>55</v>
      </c>
      <c r="E41" t="s">
        <v>60</v>
      </c>
      <c r="F41">
        <v>9</v>
      </c>
      <c r="G41">
        <v>6</v>
      </c>
      <c r="H41">
        <v>2</v>
      </c>
    </row>
    <row r="42" spans="1:9" s="6" customFormat="1" x14ac:dyDescent="0.35">
      <c r="A42" s="6" t="s">
        <v>10</v>
      </c>
      <c r="B42" s="6">
        <v>4.5</v>
      </c>
      <c r="C42" s="6">
        <v>45</v>
      </c>
      <c r="I42" s="6">
        <f>(G41*H41)</f>
        <v>12</v>
      </c>
    </row>
    <row r="44" spans="1:9" x14ac:dyDescent="0.35">
      <c r="A44" s="5" t="s">
        <v>10</v>
      </c>
      <c r="B44" s="5">
        <v>5</v>
      </c>
      <c r="C44" s="5">
        <v>20</v>
      </c>
      <c r="D44" s="5" t="s">
        <v>57</v>
      </c>
      <c r="E44" s="5" t="s">
        <v>58</v>
      </c>
      <c r="F44" s="5" t="s">
        <v>59</v>
      </c>
      <c r="G44" s="5">
        <v>8</v>
      </c>
      <c r="H44">
        <v>1</v>
      </c>
    </row>
    <row r="45" spans="1:9" s="6" customFormat="1" x14ac:dyDescent="0.35">
      <c r="A45" s="7" t="s">
        <v>10</v>
      </c>
      <c r="B45" s="7">
        <v>5</v>
      </c>
      <c r="C45" s="7">
        <v>20</v>
      </c>
      <c r="D45" s="7"/>
      <c r="E45" s="7"/>
      <c r="F45" s="7"/>
      <c r="G45" s="7"/>
      <c r="I45" s="6">
        <f>(G44*H44)</f>
        <v>8</v>
      </c>
    </row>
    <row r="46" spans="1:9" x14ac:dyDescent="0.35">
      <c r="A46" s="5"/>
      <c r="B46" s="5"/>
      <c r="C46" s="5"/>
      <c r="D46" s="5"/>
      <c r="E46" s="5"/>
      <c r="F46" s="5"/>
      <c r="G46" s="5"/>
    </row>
    <row r="47" spans="1:9" x14ac:dyDescent="0.35">
      <c r="A47" t="s">
        <v>10</v>
      </c>
      <c r="B47">
        <v>5</v>
      </c>
      <c r="C47">
        <v>25</v>
      </c>
      <c r="D47" t="s">
        <v>55</v>
      </c>
      <c r="E47" t="s">
        <v>60</v>
      </c>
      <c r="F47">
        <v>9</v>
      </c>
      <c r="G47">
        <v>6</v>
      </c>
      <c r="H47">
        <v>2</v>
      </c>
    </row>
    <row r="48" spans="1:9" s="6" customFormat="1" x14ac:dyDescent="0.35">
      <c r="A48" s="6" t="s">
        <v>10</v>
      </c>
      <c r="B48" s="6">
        <v>5</v>
      </c>
      <c r="C48" s="6">
        <v>25</v>
      </c>
      <c r="I48" s="6">
        <f>(G47*H47)</f>
        <v>12</v>
      </c>
    </row>
    <row r="50" spans="1:9" x14ac:dyDescent="0.35">
      <c r="A50" t="s">
        <v>10</v>
      </c>
      <c r="B50">
        <v>5</v>
      </c>
      <c r="C50">
        <v>30</v>
      </c>
      <c r="D50" t="s">
        <v>55</v>
      </c>
      <c r="E50" t="s">
        <v>60</v>
      </c>
      <c r="F50">
        <v>9</v>
      </c>
      <c r="G50">
        <v>8</v>
      </c>
      <c r="H50">
        <v>2</v>
      </c>
    </row>
    <row r="51" spans="1:9" s="6" customFormat="1" x14ac:dyDescent="0.35">
      <c r="A51" s="6" t="s">
        <v>10</v>
      </c>
      <c r="B51" s="6">
        <v>5</v>
      </c>
      <c r="C51" s="6">
        <v>30</v>
      </c>
      <c r="I51" s="6">
        <f>(G50*H50)</f>
        <v>16</v>
      </c>
    </row>
    <row r="53" spans="1:9" x14ac:dyDescent="0.35">
      <c r="A53" t="s">
        <v>10</v>
      </c>
      <c r="B53">
        <v>5</v>
      </c>
      <c r="C53">
        <v>35</v>
      </c>
      <c r="D53" t="s">
        <v>55</v>
      </c>
      <c r="E53" t="s">
        <v>60</v>
      </c>
      <c r="F53">
        <v>9</v>
      </c>
      <c r="G53">
        <v>10</v>
      </c>
      <c r="H53">
        <v>2</v>
      </c>
    </row>
    <row r="54" spans="1:9" s="6" customFormat="1" x14ac:dyDescent="0.35">
      <c r="A54" s="6" t="s">
        <v>10</v>
      </c>
      <c r="B54" s="6">
        <v>5</v>
      </c>
      <c r="C54" s="6">
        <v>35</v>
      </c>
      <c r="I54" s="6">
        <f>(G53*H53)</f>
        <v>20</v>
      </c>
    </row>
    <row r="56" spans="1:9" x14ac:dyDescent="0.35">
      <c r="A56" t="s">
        <v>10</v>
      </c>
      <c r="B56">
        <v>5</v>
      </c>
      <c r="C56">
        <v>40</v>
      </c>
      <c r="D56" t="s">
        <v>55</v>
      </c>
      <c r="E56" t="s">
        <v>60</v>
      </c>
      <c r="F56">
        <v>9</v>
      </c>
      <c r="G56">
        <v>6</v>
      </c>
      <c r="H56">
        <v>2</v>
      </c>
    </row>
    <row r="57" spans="1:9" s="6" customFormat="1" x14ac:dyDescent="0.35">
      <c r="A57" s="6" t="s">
        <v>10</v>
      </c>
      <c r="B57" s="6">
        <v>5</v>
      </c>
      <c r="C57" s="6">
        <v>40</v>
      </c>
      <c r="I57" s="6">
        <f>(G56*H56)</f>
        <v>12</v>
      </c>
    </row>
    <row r="59" spans="1:9" x14ac:dyDescent="0.35">
      <c r="A59" t="s">
        <v>10</v>
      </c>
      <c r="B59">
        <v>5</v>
      </c>
      <c r="C59">
        <v>45</v>
      </c>
      <c r="D59" t="s">
        <v>55</v>
      </c>
      <c r="E59" t="s">
        <v>60</v>
      </c>
      <c r="F59">
        <v>9</v>
      </c>
      <c r="G59">
        <v>6</v>
      </c>
      <c r="H59">
        <v>2</v>
      </c>
    </row>
    <row r="60" spans="1:9" s="6" customFormat="1" x14ac:dyDescent="0.35">
      <c r="A60" s="6" t="s">
        <v>10</v>
      </c>
      <c r="B60" s="6">
        <v>5</v>
      </c>
      <c r="C60" s="6">
        <v>45</v>
      </c>
      <c r="I60" s="6">
        <f>(G59*H59)</f>
        <v>12</v>
      </c>
    </row>
    <row r="62" spans="1:9" x14ac:dyDescent="0.35">
      <c r="A62" t="s">
        <v>10</v>
      </c>
      <c r="B62">
        <v>5</v>
      </c>
      <c r="C62">
        <v>50</v>
      </c>
      <c r="D62" t="s">
        <v>55</v>
      </c>
      <c r="E62" t="s">
        <v>60</v>
      </c>
      <c r="F62">
        <v>9</v>
      </c>
      <c r="G62">
        <v>4</v>
      </c>
      <c r="H62">
        <v>2</v>
      </c>
    </row>
    <row r="63" spans="1:9" s="6" customFormat="1" x14ac:dyDescent="0.35">
      <c r="A63" s="6" t="s">
        <v>10</v>
      </c>
      <c r="B63" s="6">
        <v>5</v>
      </c>
      <c r="C63" s="6">
        <v>50</v>
      </c>
      <c r="I63" s="6">
        <f>(G62*H62)</f>
        <v>8</v>
      </c>
    </row>
    <row r="65" spans="1:9" x14ac:dyDescent="0.35">
      <c r="A65" t="s">
        <v>10</v>
      </c>
      <c r="B65">
        <v>5.5</v>
      </c>
      <c r="C65">
        <v>25</v>
      </c>
      <c r="D65" t="s">
        <v>56</v>
      </c>
      <c r="E65" t="s">
        <v>62</v>
      </c>
      <c r="F65">
        <v>10</v>
      </c>
      <c r="G65">
        <v>6</v>
      </c>
      <c r="H65">
        <v>2</v>
      </c>
    </row>
    <row r="66" spans="1:9" s="6" customFormat="1" x14ac:dyDescent="0.35">
      <c r="A66" s="6" t="s">
        <v>10</v>
      </c>
      <c r="B66" s="6">
        <v>5.5</v>
      </c>
      <c r="C66" s="6">
        <v>25</v>
      </c>
      <c r="I66" s="6">
        <f>(G65*H65)</f>
        <v>12</v>
      </c>
    </row>
    <row r="68" spans="1:9" x14ac:dyDescent="0.35">
      <c r="A68" t="s">
        <v>10</v>
      </c>
      <c r="B68">
        <v>5.5</v>
      </c>
      <c r="C68">
        <v>30</v>
      </c>
      <c r="D68" t="s">
        <v>56</v>
      </c>
      <c r="E68" t="s">
        <v>62</v>
      </c>
      <c r="F68">
        <v>10</v>
      </c>
      <c r="G68">
        <v>8</v>
      </c>
      <c r="H68">
        <v>2</v>
      </c>
    </row>
    <row r="69" spans="1:9" s="6" customFormat="1" x14ac:dyDescent="0.35">
      <c r="A69" s="6" t="s">
        <v>10</v>
      </c>
      <c r="B69" s="6">
        <v>5.5</v>
      </c>
      <c r="C69" s="6">
        <v>30</v>
      </c>
      <c r="I69" s="6">
        <f>(G68*H68)</f>
        <v>16</v>
      </c>
    </row>
    <row r="71" spans="1:9" x14ac:dyDescent="0.35">
      <c r="A71" t="s">
        <v>10</v>
      </c>
      <c r="B71">
        <v>5.5</v>
      </c>
      <c r="C71">
        <v>35</v>
      </c>
      <c r="D71" t="s">
        <v>56</v>
      </c>
      <c r="E71" t="s">
        <v>62</v>
      </c>
      <c r="F71">
        <v>10</v>
      </c>
      <c r="G71">
        <v>8</v>
      </c>
      <c r="H71">
        <v>2</v>
      </c>
    </row>
    <row r="72" spans="1:9" s="6" customFormat="1" x14ac:dyDescent="0.35">
      <c r="A72" s="6" t="s">
        <v>10</v>
      </c>
      <c r="B72" s="6">
        <v>5.5</v>
      </c>
      <c r="C72" s="6">
        <v>35</v>
      </c>
      <c r="I72" s="6">
        <f>(G71*H71)</f>
        <v>16</v>
      </c>
    </row>
    <row r="74" spans="1:9" x14ac:dyDescent="0.35">
      <c r="A74" t="s">
        <v>10</v>
      </c>
      <c r="B74">
        <v>5.5</v>
      </c>
      <c r="C74">
        <v>40</v>
      </c>
      <c r="D74" t="s">
        <v>56</v>
      </c>
      <c r="E74" t="s">
        <v>62</v>
      </c>
      <c r="F74">
        <v>10</v>
      </c>
      <c r="G74">
        <v>8</v>
      </c>
      <c r="H74">
        <v>2</v>
      </c>
    </row>
    <row r="75" spans="1:9" s="6" customFormat="1" x14ac:dyDescent="0.35">
      <c r="A75" s="6" t="s">
        <v>10</v>
      </c>
      <c r="B75" s="6">
        <v>5.5</v>
      </c>
      <c r="C75" s="6">
        <v>40</v>
      </c>
      <c r="I75" s="6">
        <f>(G74*H74)</f>
        <v>16</v>
      </c>
    </row>
    <row r="77" spans="1:9" x14ac:dyDescent="0.35">
      <c r="A77" t="s">
        <v>10</v>
      </c>
      <c r="B77">
        <v>5.5</v>
      </c>
      <c r="C77">
        <v>45</v>
      </c>
      <c r="D77" t="s">
        <v>56</v>
      </c>
      <c r="E77" t="s">
        <v>62</v>
      </c>
      <c r="F77">
        <v>10</v>
      </c>
      <c r="G77">
        <v>6</v>
      </c>
      <c r="H77">
        <v>2</v>
      </c>
    </row>
    <row r="78" spans="1:9" s="6" customFormat="1" x14ac:dyDescent="0.35">
      <c r="A78" s="6" t="s">
        <v>10</v>
      </c>
      <c r="B78" s="6">
        <v>5.5</v>
      </c>
      <c r="C78" s="6">
        <v>45</v>
      </c>
      <c r="I78" s="6">
        <f>(G77*H77)</f>
        <v>12</v>
      </c>
    </row>
    <row r="80" spans="1:9" x14ac:dyDescent="0.35">
      <c r="A80" t="s">
        <v>10</v>
      </c>
      <c r="B80">
        <v>5.5</v>
      </c>
      <c r="C80">
        <v>50</v>
      </c>
      <c r="D80" t="s">
        <v>56</v>
      </c>
      <c r="E80" t="s">
        <v>62</v>
      </c>
      <c r="F80">
        <v>10</v>
      </c>
      <c r="G80">
        <v>4</v>
      </c>
      <c r="H80">
        <v>2</v>
      </c>
    </row>
    <row r="81" spans="1:9" s="6" customFormat="1" x14ac:dyDescent="0.35">
      <c r="A81" s="6" t="s">
        <v>10</v>
      </c>
      <c r="B81" s="6">
        <v>5.5</v>
      </c>
      <c r="C81" s="6">
        <v>50</v>
      </c>
      <c r="I81" s="6">
        <f>(G80*H80)</f>
        <v>8</v>
      </c>
    </row>
    <row r="83" spans="1:9" x14ac:dyDescent="0.35">
      <c r="A83" t="s">
        <v>10</v>
      </c>
      <c r="B83">
        <v>6.5</v>
      </c>
      <c r="C83">
        <v>25</v>
      </c>
      <c r="D83" t="s">
        <v>56</v>
      </c>
      <c r="E83" t="s">
        <v>62</v>
      </c>
      <c r="F83">
        <v>10</v>
      </c>
      <c r="G83">
        <v>6</v>
      </c>
      <c r="H83">
        <v>2</v>
      </c>
    </row>
    <row r="84" spans="1:9" s="6" customFormat="1" x14ac:dyDescent="0.35">
      <c r="A84" s="6" t="s">
        <v>10</v>
      </c>
      <c r="B84" s="6">
        <v>6.5</v>
      </c>
      <c r="C84" s="6">
        <v>25</v>
      </c>
      <c r="I84" s="6">
        <f>(G83*H83)</f>
        <v>12</v>
      </c>
    </row>
    <row r="86" spans="1:9" x14ac:dyDescent="0.35">
      <c r="A86" t="s">
        <v>10</v>
      </c>
      <c r="B86">
        <v>6.5</v>
      </c>
      <c r="C86">
        <v>30</v>
      </c>
      <c r="D86" t="s">
        <v>56</v>
      </c>
      <c r="E86" t="s">
        <v>62</v>
      </c>
      <c r="F86">
        <v>10</v>
      </c>
      <c r="G86">
        <v>8</v>
      </c>
      <c r="H86">
        <v>2</v>
      </c>
    </row>
    <row r="87" spans="1:9" s="6" customFormat="1" x14ac:dyDescent="0.35">
      <c r="A87" s="6" t="s">
        <v>10</v>
      </c>
      <c r="B87" s="6">
        <v>6.5</v>
      </c>
      <c r="C87" s="6">
        <v>30</v>
      </c>
      <c r="I87" s="6">
        <f>(G86*H86)</f>
        <v>16</v>
      </c>
    </row>
    <row r="89" spans="1:9" x14ac:dyDescent="0.35">
      <c r="A89" t="s">
        <v>10</v>
      </c>
      <c r="B89">
        <v>6.5</v>
      </c>
      <c r="C89">
        <v>35</v>
      </c>
      <c r="D89" t="s">
        <v>56</v>
      </c>
      <c r="E89" t="s">
        <v>62</v>
      </c>
      <c r="F89">
        <v>10</v>
      </c>
      <c r="G89">
        <v>8</v>
      </c>
      <c r="H89">
        <v>2</v>
      </c>
    </row>
    <row r="90" spans="1:9" s="6" customFormat="1" x14ac:dyDescent="0.35">
      <c r="A90" s="6" t="s">
        <v>10</v>
      </c>
      <c r="B90" s="6">
        <v>6.5</v>
      </c>
      <c r="C90" s="6">
        <v>35</v>
      </c>
      <c r="I90" s="6">
        <f>(G89*H89)</f>
        <v>16</v>
      </c>
    </row>
    <row r="92" spans="1:9" x14ac:dyDescent="0.35">
      <c r="A92" t="s">
        <v>10</v>
      </c>
      <c r="B92">
        <v>6.5</v>
      </c>
      <c r="C92">
        <v>40</v>
      </c>
      <c r="D92" t="s">
        <v>56</v>
      </c>
      <c r="E92" t="s">
        <v>62</v>
      </c>
      <c r="F92">
        <v>10</v>
      </c>
      <c r="G92">
        <v>8</v>
      </c>
      <c r="H92">
        <v>2</v>
      </c>
    </row>
    <row r="93" spans="1:9" s="6" customFormat="1" x14ac:dyDescent="0.35">
      <c r="A93" s="6" t="s">
        <v>10</v>
      </c>
      <c r="B93" s="6">
        <v>6.5</v>
      </c>
      <c r="C93" s="6">
        <v>40</v>
      </c>
      <c r="I93" s="6">
        <f>(G92*H92)</f>
        <v>16</v>
      </c>
    </row>
    <row r="95" spans="1:9" x14ac:dyDescent="0.35">
      <c r="A95" t="s">
        <v>10</v>
      </c>
      <c r="B95">
        <v>6.5</v>
      </c>
      <c r="C95">
        <v>45</v>
      </c>
      <c r="D95" t="s">
        <v>56</v>
      </c>
      <c r="E95" t="s">
        <v>62</v>
      </c>
      <c r="F95">
        <v>10</v>
      </c>
      <c r="G95">
        <v>6</v>
      </c>
      <c r="H95">
        <v>2</v>
      </c>
    </row>
    <row r="96" spans="1:9" s="6" customFormat="1" x14ac:dyDescent="0.35">
      <c r="A96" s="6" t="s">
        <v>10</v>
      </c>
      <c r="B96" s="6">
        <v>6.5</v>
      </c>
      <c r="C96" s="6">
        <v>45</v>
      </c>
      <c r="I96" s="6">
        <f>(G95*H95)</f>
        <v>12</v>
      </c>
    </row>
    <row r="98" spans="1:9" x14ac:dyDescent="0.35">
      <c r="A98" t="s">
        <v>10</v>
      </c>
      <c r="B98">
        <v>6.5</v>
      </c>
      <c r="C98">
        <v>50</v>
      </c>
      <c r="D98" t="s">
        <v>56</v>
      </c>
      <c r="E98" t="s">
        <v>62</v>
      </c>
      <c r="F98">
        <v>10</v>
      </c>
      <c r="G98">
        <v>6</v>
      </c>
      <c r="H98">
        <v>2</v>
      </c>
    </row>
    <row r="99" spans="1:9" s="6" customFormat="1" x14ac:dyDescent="0.35">
      <c r="A99" s="6" t="s">
        <v>10</v>
      </c>
      <c r="B99" s="6">
        <v>6.5</v>
      </c>
      <c r="C99" s="6">
        <v>50</v>
      </c>
      <c r="I99" s="6">
        <f>(G98*H98)</f>
        <v>12</v>
      </c>
    </row>
    <row r="101" spans="1:9" x14ac:dyDescent="0.35">
      <c r="A101" t="s">
        <v>10</v>
      </c>
      <c r="B101">
        <v>6.5</v>
      </c>
      <c r="C101">
        <v>55</v>
      </c>
      <c r="D101" t="s">
        <v>56</v>
      </c>
      <c r="E101" t="s">
        <v>62</v>
      </c>
      <c r="F101">
        <v>10</v>
      </c>
      <c r="G101">
        <v>4</v>
      </c>
      <c r="H101">
        <v>2</v>
      </c>
    </row>
    <row r="102" spans="1:9" s="6" customFormat="1" x14ac:dyDescent="0.35">
      <c r="A102" s="6" t="s">
        <v>10</v>
      </c>
      <c r="B102" s="6">
        <v>6.5</v>
      </c>
      <c r="C102" s="6">
        <v>55</v>
      </c>
      <c r="I102" s="6">
        <f>(G101*H101)</f>
        <v>8</v>
      </c>
    </row>
    <row r="104" spans="1:9" x14ac:dyDescent="0.35">
      <c r="A104" t="s">
        <v>10</v>
      </c>
      <c r="B104">
        <v>6.5</v>
      </c>
      <c r="C104">
        <v>60</v>
      </c>
      <c r="D104" t="s">
        <v>7</v>
      </c>
      <c r="E104" t="s">
        <v>42</v>
      </c>
      <c r="F104">
        <v>12</v>
      </c>
      <c r="G104">
        <v>2</v>
      </c>
      <c r="H104">
        <v>2</v>
      </c>
    </row>
    <row r="105" spans="1:9" s="6" customFormat="1" x14ac:dyDescent="0.35">
      <c r="A105" s="6" t="s">
        <v>10</v>
      </c>
      <c r="B105" s="6">
        <v>6.5</v>
      </c>
      <c r="C105" s="6">
        <v>60</v>
      </c>
      <c r="I105" s="6">
        <f>(G104*H104)</f>
        <v>4</v>
      </c>
    </row>
    <row r="107" spans="1:9" x14ac:dyDescent="0.35">
      <c r="A107" t="s">
        <v>10</v>
      </c>
      <c r="B107">
        <v>6.5</v>
      </c>
      <c r="C107">
        <v>70</v>
      </c>
      <c r="D107" t="s">
        <v>11</v>
      </c>
      <c r="E107" t="s">
        <v>43</v>
      </c>
      <c r="F107">
        <v>12</v>
      </c>
      <c r="G107">
        <v>2</v>
      </c>
      <c r="H107">
        <v>2</v>
      </c>
    </row>
    <row r="108" spans="1:9" s="6" customFormat="1" x14ac:dyDescent="0.35">
      <c r="A108" s="6" t="s">
        <v>10</v>
      </c>
      <c r="B108" s="6">
        <v>6.5</v>
      </c>
      <c r="C108" s="6">
        <v>70</v>
      </c>
      <c r="I108" s="6">
        <f>(G107*H107)</f>
        <v>4</v>
      </c>
    </row>
    <row r="110" spans="1:9" x14ac:dyDescent="0.35">
      <c r="A110" t="s">
        <v>10</v>
      </c>
      <c r="B110">
        <v>6.5</v>
      </c>
      <c r="C110">
        <v>80</v>
      </c>
      <c r="D110" t="s">
        <v>12</v>
      </c>
      <c r="E110" t="s">
        <v>44</v>
      </c>
      <c r="F110">
        <v>12</v>
      </c>
      <c r="G110">
        <v>2</v>
      </c>
      <c r="H110">
        <v>2</v>
      </c>
    </row>
    <row r="111" spans="1:9" s="6" customFormat="1" x14ac:dyDescent="0.35">
      <c r="A111" s="6" t="s">
        <v>10</v>
      </c>
      <c r="B111" s="6">
        <v>6.5</v>
      </c>
      <c r="C111" s="6">
        <v>80</v>
      </c>
      <c r="I111" s="6">
        <f>(G110*H110)</f>
        <v>4</v>
      </c>
    </row>
    <row r="113" spans="1:9" x14ac:dyDescent="0.35">
      <c r="A113" t="s">
        <v>10</v>
      </c>
      <c r="B113">
        <v>6.5</v>
      </c>
      <c r="C113">
        <v>90</v>
      </c>
      <c r="D113" t="s">
        <v>13</v>
      </c>
      <c r="E113" t="s">
        <v>45</v>
      </c>
      <c r="F113">
        <v>12</v>
      </c>
      <c r="G113">
        <v>2</v>
      </c>
      <c r="H113">
        <v>2</v>
      </c>
    </row>
    <row r="114" spans="1:9" s="6" customFormat="1" x14ac:dyDescent="0.35">
      <c r="A114" s="6" t="s">
        <v>10</v>
      </c>
      <c r="B114" s="6">
        <v>6.5</v>
      </c>
      <c r="C114" s="6">
        <v>90</v>
      </c>
      <c r="I114" s="6">
        <f>(G113*H113)</f>
        <v>4</v>
      </c>
    </row>
    <row r="116" spans="1:9" x14ac:dyDescent="0.35">
      <c r="A116" t="s">
        <v>10</v>
      </c>
      <c r="B116">
        <v>7.5</v>
      </c>
      <c r="C116">
        <v>30</v>
      </c>
      <c r="D116" t="s">
        <v>56</v>
      </c>
      <c r="E116" t="s">
        <v>62</v>
      </c>
      <c r="F116">
        <v>10</v>
      </c>
      <c r="G116">
        <v>4</v>
      </c>
      <c r="H116">
        <v>2</v>
      </c>
    </row>
    <row r="117" spans="1:9" s="6" customFormat="1" x14ac:dyDescent="0.35">
      <c r="A117" s="6" t="s">
        <v>10</v>
      </c>
      <c r="B117" s="6">
        <v>7.5</v>
      </c>
      <c r="C117" s="6">
        <v>30</v>
      </c>
      <c r="I117" s="6">
        <f>(G116*H116)</f>
        <v>8</v>
      </c>
    </row>
    <row r="119" spans="1:9" x14ac:dyDescent="0.35">
      <c r="A119" t="s">
        <v>10</v>
      </c>
      <c r="B119">
        <v>7.5</v>
      </c>
      <c r="C119">
        <v>35</v>
      </c>
      <c r="D119" t="s">
        <v>56</v>
      </c>
      <c r="E119" t="s">
        <v>62</v>
      </c>
      <c r="F119">
        <v>10</v>
      </c>
      <c r="G119">
        <v>4</v>
      </c>
      <c r="H119">
        <v>2</v>
      </c>
    </row>
    <row r="120" spans="1:9" s="6" customFormat="1" x14ac:dyDescent="0.35">
      <c r="A120" s="6" t="s">
        <v>10</v>
      </c>
      <c r="B120" s="6">
        <v>7.5</v>
      </c>
      <c r="C120" s="6">
        <v>35</v>
      </c>
      <c r="I120" s="6">
        <f>(G119*H119)</f>
        <v>8</v>
      </c>
    </row>
    <row r="122" spans="1:9" x14ac:dyDescent="0.35">
      <c r="A122" t="s">
        <v>10</v>
      </c>
      <c r="B122">
        <v>7.5</v>
      </c>
      <c r="C122">
        <v>40</v>
      </c>
      <c r="D122" t="s">
        <v>56</v>
      </c>
      <c r="E122" t="s">
        <v>62</v>
      </c>
      <c r="F122">
        <v>10</v>
      </c>
      <c r="G122">
        <v>4</v>
      </c>
      <c r="H122">
        <v>2</v>
      </c>
    </row>
    <row r="123" spans="1:9" s="6" customFormat="1" x14ac:dyDescent="0.35">
      <c r="A123" s="6" t="s">
        <v>10</v>
      </c>
      <c r="B123" s="6">
        <v>7.5</v>
      </c>
      <c r="C123" s="6">
        <v>40</v>
      </c>
      <c r="I123" s="6">
        <f>(G122*H122)</f>
        <v>8</v>
      </c>
    </row>
    <row r="125" spans="1:9" x14ac:dyDescent="0.35">
      <c r="A125" t="s">
        <v>10</v>
      </c>
      <c r="B125">
        <v>7.5</v>
      </c>
      <c r="C125">
        <v>45</v>
      </c>
      <c r="D125" t="s">
        <v>56</v>
      </c>
      <c r="E125" t="s">
        <v>62</v>
      </c>
      <c r="F125">
        <v>10</v>
      </c>
      <c r="G125">
        <v>4</v>
      </c>
      <c r="H125">
        <v>2</v>
      </c>
    </row>
    <row r="126" spans="1:9" s="6" customFormat="1" x14ac:dyDescent="0.35">
      <c r="A126" s="6" t="s">
        <v>10</v>
      </c>
      <c r="B126" s="6">
        <v>7.5</v>
      </c>
      <c r="C126" s="6">
        <v>45</v>
      </c>
      <c r="I126" s="6">
        <f>(G125*H125)</f>
        <v>8</v>
      </c>
    </row>
    <row r="128" spans="1:9" x14ac:dyDescent="0.35">
      <c r="A128" t="s">
        <v>10</v>
      </c>
      <c r="B128">
        <v>7.5</v>
      </c>
      <c r="C128">
        <v>50</v>
      </c>
      <c r="D128" t="s">
        <v>56</v>
      </c>
      <c r="E128" t="s">
        <v>62</v>
      </c>
      <c r="F128">
        <v>10</v>
      </c>
      <c r="G128">
        <v>4</v>
      </c>
      <c r="H128">
        <v>2</v>
      </c>
    </row>
    <row r="129" spans="1:9" s="6" customFormat="1" x14ac:dyDescent="0.35">
      <c r="A129" s="6" t="s">
        <v>10</v>
      </c>
      <c r="B129" s="6">
        <v>7.5</v>
      </c>
      <c r="C129" s="6">
        <v>50</v>
      </c>
      <c r="I129" s="6">
        <f>(G128*H128)</f>
        <v>8</v>
      </c>
    </row>
    <row r="131" spans="1:9" x14ac:dyDescent="0.35">
      <c r="A131" t="s">
        <v>10</v>
      </c>
      <c r="B131">
        <v>7.5</v>
      </c>
      <c r="C131">
        <v>55</v>
      </c>
      <c r="D131" t="s">
        <v>56</v>
      </c>
      <c r="E131" t="s">
        <v>62</v>
      </c>
      <c r="F131">
        <v>10</v>
      </c>
      <c r="G131">
        <v>4</v>
      </c>
      <c r="H131">
        <v>2</v>
      </c>
    </row>
    <row r="132" spans="1:9" s="6" customFormat="1" x14ac:dyDescent="0.35">
      <c r="A132" s="6" t="s">
        <v>10</v>
      </c>
      <c r="B132" s="6">
        <v>7.5</v>
      </c>
      <c r="C132" s="6">
        <v>55</v>
      </c>
      <c r="I132" s="6">
        <f>(G131*H131)</f>
        <v>8</v>
      </c>
    </row>
    <row r="134" spans="1:9" x14ac:dyDescent="0.35">
      <c r="A134" t="s">
        <v>10</v>
      </c>
      <c r="B134">
        <v>7.5</v>
      </c>
      <c r="C134">
        <v>60</v>
      </c>
      <c r="D134" t="s">
        <v>14</v>
      </c>
      <c r="E134" t="s">
        <v>46</v>
      </c>
      <c r="F134">
        <v>12</v>
      </c>
      <c r="G134">
        <v>2</v>
      </c>
      <c r="H134">
        <v>2</v>
      </c>
    </row>
    <row r="135" spans="1:9" s="6" customFormat="1" x14ac:dyDescent="0.35">
      <c r="A135" s="6" t="s">
        <v>10</v>
      </c>
      <c r="B135" s="6">
        <v>7.5</v>
      </c>
      <c r="C135" s="6">
        <v>60</v>
      </c>
      <c r="I135" s="6">
        <f>(G134*H134)</f>
        <v>4</v>
      </c>
    </row>
    <row r="137" spans="1:9" x14ac:dyDescent="0.35">
      <c r="A137" t="s">
        <v>10</v>
      </c>
      <c r="B137">
        <v>7.5</v>
      </c>
      <c r="C137">
        <v>70</v>
      </c>
      <c r="D137" t="s">
        <v>15</v>
      </c>
      <c r="E137" t="s">
        <v>47</v>
      </c>
      <c r="F137">
        <v>12</v>
      </c>
      <c r="G137">
        <v>2</v>
      </c>
      <c r="H137">
        <v>2</v>
      </c>
    </row>
    <row r="138" spans="1:9" s="6" customFormat="1" x14ac:dyDescent="0.35">
      <c r="A138" s="6" t="s">
        <v>10</v>
      </c>
      <c r="B138" s="6">
        <v>7.5</v>
      </c>
      <c r="C138" s="6">
        <v>70</v>
      </c>
      <c r="I138" s="6">
        <f>(G137*H137)</f>
        <v>4</v>
      </c>
    </row>
    <row r="140" spans="1:9" x14ac:dyDescent="0.35">
      <c r="A140" t="s">
        <v>10</v>
      </c>
      <c r="B140">
        <v>7.5</v>
      </c>
      <c r="C140">
        <v>80</v>
      </c>
      <c r="D140" t="s">
        <v>16</v>
      </c>
      <c r="E140" t="s">
        <v>48</v>
      </c>
      <c r="F140">
        <v>12</v>
      </c>
      <c r="G140">
        <v>2</v>
      </c>
      <c r="H140">
        <v>2</v>
      </c>
    </row>
    <row r="141" spans="1:9" s="6" customFormat="1" x14ac:dyDescent="0.35">
      <c r="A141" s="6" t="s">
        <v>10</v>
      </c>
      <c r="B141" s="6">
        <v>7.5</v>
      </c>
      <c r="C141" s="6">
        <v>80</v>
      </c>
      <c r="I141" s="6">
        <f>(G140*H140)</f>
        <v>4</v>
      </c>
    </row>
    <row r="143" spans="1:9" x14ac:dyDescent="0.35">
      <c r="A143" t="s">
        <v>10</v>
      </c>
      <c r="B143">
        <v>7.5</v>
      </c>
      <c r="C143">
        <v>90</v>
      </c>
      <c r="D143" t="s">
        <v>17</v>
      </c>
      <c r="E143" t="s">
        <v>49</v>
      </c>
      <c r="F143">
        <v>12</v>
      </c>
      <c r="G143">
        <v>2</v>
      </c>
      <c r="H143">
        <v>2</v>
      </c>
    </row>
    <row r="144" spans="1:9" s="6" customFormat="1" x14ac:dyDescent="0.35">
      <c r="A144" s="6" t="s">
        <v>10</v>
      </c>
      <c r="B144" s="6">
        <v>7.5</v>
      </c>
      <c r="C144" s="6">
        <v>90</v>
      </c>
      <c r="I144" s="6">
        <f>(G143*H143)</f>
        <v>4</v>
      </c>
    </row>
    <row r="146" spans="1:9" x14ac:dyDescent="0.35">
      <c r="A146" t="s">
        <v>10</v>
      </c>
      <c r="B146">
        <v>8.5</v>
      </c>
      <c r="C146">
        <v>60</v>
      </c>
      <c r="D146" t="s">
        <v>18</v>
      </c>
      <c r="E146" t="s">
        <v>50</v>
      </c>
      <c r="F146">
        <v>12</v>
      </c>
      <c r="G146">
        <v>2</v>
      </c>
      <c r="H146">
        <v>2</v>
      </c>
    </row>
    <row r="147" spans="1:9" s="6" customFormat="1" x14ac:dyDescent="0.35">
      <c r="A147" s="6" t="s">
        <v>10</v>
      </c>
      <c r="B147" s="6">
        <v>8.5</v>
      </c>
      <c r="C147" s="6">
        <v>60</v>
      </c>
      <c r="I147" s="6">
        <f>(G146*H146)</f>
        <v>4</v>
      </c>
    </row>
    <row r="149" spans="1:9" x14ac:dyDescent="0.35">
      <c r="A149" t="s">
        <v>10</v>
      </c>
      <c r="B149">
        <v>8.5</v>
      </c>
      <c r="C149">
        <v>70</v>
      </c>
      <c r="D149" t="s">
        <v>19</v>
      </c>
      <c r="E149" t="s">
        <v>51</v>
      </c>
      <c r="F149">
        <v>12</v>
      </c>
      <c r="G149">
        <v>2</v>
      </c>
      <c r="H149">
        <v>2</v>
      </c>
    </row>
    <row r="150" spans="1:9" s="6" customFormat="1" x14ac:dyDescent="0.35">
      <c r="A150" s="6" t="s">
        <v>10</v>
      </c>
      <c r="B150" s="6">
        <v>8.5</v>
      </c>
      <c r="C150" s="6">
        <v>70</v>
      </c>
      <c r="I150" s="6">
        <f>(G149*H149)</f>
        <v>4</v>
      </c>
    </row>
    <row r="152" spans="1:9" x14ac:dyDescent="0.35">
      <c r="A152" t="s">
        <v>10</v>
      </c>
      <c r="B152">
        <v>8.5</v>
      </c>
      <c r="C152">
        <v>80</v>
      </c>
      <c r="D152" t="s">
        <v>20</v>
      </c>
      <c r="E152" t="s">
        <v>52</v>
      </c>
      <c r="F152">
        <v>12</v>
      </c>
      <c r="G152">
        <v>2</v>
      </c>
      <c r="H152">
        <v>2</v>
      </c>
    </row>
    <row r="153" spans="1:9" s="8" customFormat="1" x14ac:dyDescent="0.35">
      <c r="A153" s="6" t="s">
        <v>10</v>
      </c>
      <c r="B153" s="6">
        <v>8.5</v>
      </c>
      <c r="C153" s="6">
        <v>80</v>
      </c>
      <c r="I153" s="6">
        <f>(G152*H152)</f>
        <v>4</v>
      </c>
    </row>
    <row r="155" spans="1:9" x14ac:dyDescent="0.35">
      <c r="A155" t="s">
        <v>10</v>
      </c>
      <c r="B155">
        <v>8.5</v>
      </c>
      <c r="C155">
        <v>90</v>
      </c>
      <c r="D155" t="s">
        <v>21</v>
      </c>
      <c r="E155" t="s">
        <v>53</v>
      </c>
      <c r="F155">
        <v>12</v>
      </c>
      <c r="G155">
        <v>2</v>
      </c>
      <c r="H155">
        <v>2</v>
      </c>
    </row>
    <row r="156" spans="1:9" s="8" customFormat="1" x14ac:dyDescent="0.35">
      <c r="A156" s="6" t="s">
        <v>10</v>
      </c>
      <c r="B156" s="6">
        <v>8.5</v>
      </c>
      <c r="C156" s="6">
        <v>90</v>
      </c>
      <c r="I156" s="6">
        <f>(G155*H155)</f>
        <v>4</v>
      </c>
    </row>
    <row r="158" spans="1:9" x14ac:dyDescent="0.35">
      <c r="A158" t="s">
        <v>2</v>
      </c>
      <c r="B158">
        <v>4</v>
      </c>
      <c r="C158">
        <v>20</v>
      </c>
      <c r="D158" t="s">
        <v>55</v>
      </c>
      <c r="E158" t="s">
        <v>60</v>
      </c>
      <c r="F158">
        <v>9</v>
      </c>
      <c r="G158">
        <v>2</v>
      </c>
      <c r="H158">
        <v>2</v>
      </c>
    </row>
    <row r="159" spans="1:9" x14ac:dyDescent="0.35">
      <c r="A159" t="s">
        <v>2</v>
      </c>
      <c r="B159">
        <v>4</v>
      </c>
      <c r="C159">
        <v>20</v>
      </c>
      <c r="D159" t="s">
        <v>23</v>
      </c>
      <c r="E159" t="s">
        <v>61</v>
      </c>
      <c r="F159">
        <v>21</v>
      </c>
      <c r="G159">
        <v>8</v>
      </c>
      <c r="H159">
        <v>1</v>
      </c>
    </row>
    <row r="160" spans="1:9" s="6" customFormat="1" x14ac:dyDescent="0.35">
      <c r="A160" s="6" t="s">
        <v>2</v>
      </c>
      <c r="B160" s="6">
        <v>4</v>
      </c>
      <c r="C160" s="6">
        <v>20</v>
      </c>
      <c r="I160" s="6">
        <f>(G158*H158)+(G159*H159)</f>
        <v>12</v>
      </c>
    </row>
    <row r="162" spans="1:9" x14ac:dyDescent="0.35">
      <c r="A162" t="s">
        <v>2</v>
      </c>
      <c r="B162">
        <v>4</v>
      </c>
      <c r="C162">
        <v>25</v>
      </c>
      <c r="D162" t="s">
        <v>55</v>
      </c>
      <c r="E162" t="s">
        <v>60</v>
      </c>
      <c r="F162">
        <v>9</v>
      </c>
      <c r="G162">
        <v>4</v>
      </c>
      <c r="H162">
        <v>2</v>
      </c>
    </row>
    <row r="163" spans="1:9" x14ac:dyDescent="0.35">
      <c r="A163" t="s">
        <v>2</v>
      </c>
      <c r="B163">
        <v>4</v>
      </c>
      <c r="C163">
        <v>25</v>
      </c>
      <c r="D163" t="s">
        <v>23</v>
      </c>
      <c r="E163" t="s">
        <v>61</v>
      </c>
      <c r="F163">
        <v>21</v>
      </c>
      <c r="G163">
        <v>16</v>
      </c>
      <c r="H163">
        <v>1</v>
      </c>
    </row>
    <row r="164" spans="1:9" s="6" customFormat="1" x14ac:dyDescent="0.35">
      <c r="A164" s="6" t="s">
        <v>2</v>
      </c>
      <c r="B164" s="6">
        <v>4</v>
      </c>
      <c r="C164" s="6">
        <v>25</v>
      </c>
      <c r="I164" s="6">
        <f>(G162*H162)+(G163*H163)</f>
        <v>24</v>
      </c>
    </row>
    <row r="166" spans="1:9" x14ac:dyDescent="0.35">
      <c r="A166" t="s">
        <v>2</v>
      </c>
      <c r="B166">
        <v>4</v>
      </c>
      <c r="C166">
        <v>30</v>
      </c>
      <c r="D166" t="s">
        <v>55</v>
      </c>
      <c r="E166" t="s">
        <v>60</v>
      </c>
      <c r="F166">
        <v>9</v>
      </c>
      <c r="G166">
        <v>4</v>
      </c>
      <c r="H166">
        <v>2</v>
      </c>
    </row>
    <row r="167" spans="1:9" s="6" customFormat="1" x14ac:dyDescent="0.35">
      <c r="A167" s="6" t="s">
        <v>2</v>
      </c>
      <c r="B167" s="6">
        <v>4</v>
      </c>
      <c r="C167" s="6">
        <v>30</v>
      </c>
      <c r="I167" s="6">
        <f>(G166*H166)</f>
        <v>8</v>
      </c>
    </row>
    <row r="169" spans="1:9" x14ac:dyDescent="0.35">
      <c r="A169" t="s">
        <v>2</v>
      </c>
      <c r="B169">
        <v>4</v>
      </c>
      <c r="C169">
        <v>35</v>
      </c>
      <c r="D169" t="s">
        <v>55</v>
      </c>
      <c r="E169" t="s">
        <v>60</v>
      </c>
      <c r="F169">
        <v>9</v>
      </c>
      <c r="G169">
        <v>4</v>
      </c>
      <c r="H169">
        <v>2</v>
      </c>
    </row>
    <row r="170" spans="1:9" s="6" customFormat="1" x14ac:dyDescent="0.35">
      <c r="A170" s="6" t="s">
        <v>2</v>
      </c>
      <c r="B170" s="6">
        <v>4</v>
      </c>
      <c r="C170" s="6">
        <v>35</v>
      </c>
      <c r="I170" s="6">
        <f>(G169*H169)</f>
        <v>8</v>
      </c>
    </row>
    <row r="172" spans="1:9" x14ac:dyDescent="0.35">
      <c r="A172" t="s">
        <v>2</v>
      </c>
      <c r="B172">
        <v>4</v>
      </c>
      <c r="C172">
        <v>40</v>
      </c>
      <c r="D172" t="s">
        <v>55</v>
      </c>
      <c r="E172" t="s">
        <v>60</v>
      </c>
      <c r="F172">
        <v>9</v>
      </c>
      <c r="G172">
        <v>4</v>
      </c>
      <c r="H172">
        <v>2</v>
      </c>
    </row>
    <row r="173" spans="1:9" s="6" customFormat="1" x14ac:dyDescent="0.35">
      <c r="A173" s="6" t="s">
        <v>2</v>
      </c>
      <c r="B173" s="6">
        <v>4</v>
      </c>
      <c r="C173" s="6">
        <v>40</v>
      </c>
      <c r="I173" s="6">
        <f>(G172*H172)</f>
        <v>8</v>
      </c>
    </row>
    <row r="175" spans="1:9" x14ac:dyDescent="0.35">
      <c r="A175" t="s">
        <v>2</v>
      </c>
      <c r="B175">
        <v>4</v>
      </c>
      <c r="C175">
        <v>45</v>
      </c>
      <c r="D175" t="s">
        <v>55</v>
      </c>
      <c r="E175" t="s">
        <v>60</v>
      </c>
      <c r="F175">
        <v>9</v>
      </c>
      <c r="G175">
        <v>4</v>
      </c>
      <c r="H175">
        <v>2</v>
      </c>
    </row>
    <row r="176" spans="1:9" s="8" customFormat="1" x14ac:dyDescent="0.35">
      <c r="A176" s="8" t="s">
        <v>2</v>
      </c>
      <c r="B176" s="8">
        <v>4</v>
      </c>
      <c r="C176" s="8">
        <v>45</v>
      </c>
      <c r="I176" s="6">
        <f>(G175*H175)</f>
        <v>8</v>
      </c>
    </row>
    <row r="178" spans="1:9" x14ac:dyDescent="0.35">
      <c r="A178" t="s">
        <v>2</v>
      </c>
      <c r="B178">
        <v>4.5</v>
      </c>
      <c r="C178">
        <v>20</v>
      </c>
      <c r="D178" t="s">
        <v>55</v>
      </c>
      <c r="E178" t="s">
        <v>60</v>
      </c>
      <c r="F178">
        <v>9</v>
      </c>
      <c r="G178">
        <v>2</v>
      </c>
      <c r="H178">
        <v>2</v>
      </c>
    </row>
    <row r="179" spans="1:9" x14ac:dyDescent="0.35">
      <c r="A179" t="s">
        <v>2</v>
      </c>
      <c r="B179">
        <v>4.5</v>
      </c>
      <c r="C179">
        <v>20</v>
      </c>
      <c r="D179" t="s">
        <v>23</v>
      </c>
      <c r="E179" t="s">
        <v>61</v>
      </c>
      <c r="F179">
        <v>21</v>
      </c>
      <c r="G179">
        <v>8</v>
      </c>
      <c r="H179">
        <v>1</v>
      </c>
    </row>
    <row r="180" spans="1:9" s="6" customFormat="1" x14ac:dyDescent="0.35">
      <c r="A180" s="6" t="s">
        <v>2</v>
      </c>
      <c r="B180" s="6">
        <v>4.5</v>
      </c>
      <c r="C180" s="6">
        <v>20</v>
      </c>
      <c r="I180" s="6">
        <f>(G178*H178)+(G179*H179)</f>
        <v>12</v>
      </c>
    </row>
    <row r="182" spans="1:9" x14ac:dyDescent="0.35">
      <c r="A182" t="s">
        <v>2</v>
      </c>
      <c r="B182">
        <v>4.5</v>
      </c>
      <c r="C182">
        <v>25</v>
      </c>
      <c r="D182" t="s">
        <v>55</v>
      </c>
      <c r="E182" t="s">
        <v>60</v>
      </c>
      <c r="F182">
        <v>9</v>
      </c>
      <c r="G182">
        <v>6</v>
      </c>
      <c r="H182">
        <v>2</v>
      </c>
    </row>
    <row r="183" spans="1:9" x14ac:dyDescent="0.35">
      <c r="A183" t="s">
        <v>2</v>
      </c>
      <c r="B183">
        <v>4.5</v>
      </c>
      <c r="C183">
        <v>25</v>
      </c>
      <c r="D183" t="s">
        <v>23</v>
      </c>
      <c r="E183" t="s">
        <v>61</v>
      </c>
      <c r="F183">
        <v>21</v>
      </c>
      <c r="G183">
        <v>16</v>
      </c>
      <c r="H183">
        <v>1</v>
      </c>
    </row>
    <row r="184" spans="1:9" s="6" customFormat="1" x14ac:dyDescent="0.35">
      <c r="A184" s="6" t="s">
        <v>2</v>
      </c>
      <c r="B184" s="6">
        <v>4.5</v>
      </c>
      <c r="C184" s="6">
        <v>25</v>
      </c>
      <c r="I184" s="6">
        <f>(G182*H182)+(G183*H183)</f>
        <v>28</v>
      </c>
    </row>
    <row r="186" spans="1:9" x14ac:dyDescent="0.35">
      <c r="A186" t="s">
        <v>2</v>
      </c>
      <c r="B186">
        <v>4.5</v>
      </c>
      <c r="C186">
        <v>30</v>
      </c>
      <c r="D186" t="s">
        <v>55</v>
      </c>
      <c r="E186" t="s">
        <v>60</v>
      </c>
      <c r="F186">
        <v>9</v>
      </c>
      <c r="G186">
        <v>8</v>
      </c>
      <c r="H186">
        <v>2</v>
      </c>
    </row>
    <row r="187" spans="1:9" s="6" customFormat="1" x14ac:dyDescent="0.35">
      <c r="A187" s="6" t="s">
        <v>2</v>
      </c>
      <c r="B187" s="6">
        <v>4.5</v>
      </c>
      <c r="C187" s="6">
        <v>30</v>
      </c>
      <c r="I187" s="6">
        <f>(G186*H186)</f>
        <v>16</v>
      </c>
    </row>
    <row r="189" spans="1:9" x14ac:dyDescent="0.35">
      <c r="A189" t="s">
        <v>2</v>
      </c>
      <c r="B189">
        <v>4.5</v>
      </c>
      <c r="C189">
        <v>35</v>
      </c>
      <c r="D189" t="s">
        <v>55</v>
      </c>
      <c r="E189" t="s">
        <v>60</v>
      </c>
      <c r="F189">
        <v>9</v>
      </c>
      <c r="G189">
        <v>10</v>
      </c>
      <c r="H189">
        <v>2</v>
      </c>
    </row>
    <row r="190" spans="1:9" s="6" customFormat="1" x14ac:dyDescent="0.35">
      <c r="A190" s="6" t="s">
        <v>2</v>
      </c>
      <c r="B190" s="6">
        <v>4.5</v>
      </c>
      <c r="C190" s="6">
        <v>35</v>
      </c>
      <c r="I190" s="6">
        <f>(G189*H189)</f>
        <v>20</v>
      </c>
    </row>
    <row r="192" spans="1:9" x14ac:dyDescent="0.35">
      <c r="A192" t="s">
        <v>2</v>
      </c>
      <c r="B192">
        <v>4.5</v>
      </c>
      <c r="C192">
        <v>40</v>
      </c>
      <c r="D192" t="s">
        <v>55</v>
      </c>
      <c r="E192" t="s">
        <v>60</v>
      </c>
      <c r="F192">
        <v>9</v>
      </c>
      <c r="G192">
        <v>6</v>
      </c>
      <c r="H192">
        <v>2</v>
      </c>
    </row>
    <row r="193" spans="1:9" s="6" customFormat="1" x14ac:dyDescent="0.35">
      <c r="A193" s="6" t="s">
        <v>2</v>
      </c>
      <c r="B193" s="6">
        <v>4.5</v>
      </c>
      <c r="C193" s="6">
        <v>40</v>
      </c>
      <c r="I193" s="6">
        <f>(G192*H192)</f>
        <v>12</v>
      </c>
    </row>
    <row r="195" spans="1:9" x14ac:dyDescent="0.35">
      <c r="A195" t="s">
        <v>2</v>
      </c>
      <c r="B195">
        <v>4.5</v>
      </c>
      <c r="C195">
        <v>45</v>
      </c>
      <c r="D195" t="s">
        <v>55</v>
      </c>
      <c r="E195" t="s">
        <v>60</v>
      </c>
      <c r="F195">
        <v>9</v>
      </c>
      <c r="G195">
        <v>6</v>
      </c>
      <c r="H195">
        <v>2</v>
      </c>
    </row>
    <row r="196" spans="1:9" s="6" customFormat="1" x14ac:dyDescent="0.35">
      <c r="A196" s="6" t="s">
        <v>2</v>
      </c>
      <c r="B196" s="6">
        <v>4.5</v>
      </c>
      <c r="C196" s="6">
        <v>45</v>
      </c>
      <c r="I196" s="6">
        <f>(G195*H195)</f>
        <v>12</v>
      </c>
    </row>
    <row r="197" spans="1:9" s="3" customFormat="1" x14ac:dyDescent="0.35"/>
    <row r="198" spans="1:9" x14ac:dyDescent="0.35">
      <c r="A198" t="s">
        <v>2</v>
      </c>
      <c r="B198">
        <v>5</v>
      </c>
      <c r="C198">
        <v>20</v>
      </c>
      <c r="D198" t="s">
        <v>23</v>
      </c>
      <c r="E198" t="s">
        <v>61</v>
      </c>
      <c r="F198">
        <v>21</v>
      </c>
      <c r="G198">
        <v>10</v>
      </c>
      <c r="H198">
        <v>1</v>
      </c>
    </row>
    <row r="199" spans="1:9" s="6" customFormat="1" x14ac:dyDescent="0.35">
      <c r="A199" s="6" t="s">
        <v>2</v>
      </c>
      <c r="B199" s="6">
        <v>5</v>
      </c>
      <c r="C199" s="6">
        <v>20</v>
      </c>
      <c r="I199" s="6">
        <f>(G198*H198)</f>
        <v>10</v>
      </c>
    </row>
    <row r="201" spans="1:9" x14ac:dyDescent="0.35">
      <c r="A201" t="s">
        <v>2</v>
      </c>
      <c r="B201">
        <v>5</v>
      </c>
      <c r="C201">
        <v>25</v>
      </c>
      <c r="D201" t="s">
        <v>55</v>
      </c>
      <c r="E201" t="s">
        <v>60</v>
      </c>
      <c r="F201">
        <v>9</v>
      </c>
      <c r="G201">
        <v>6</v>
      </c>
      <c r="H201">
        <v>2</v>
      </c>
    </row>
    <row r="202" spans="1:9" s="6" customFormat="1" x14ac:dyDescent="0.35">
      <c r="A202" s="6" t="s">
        <v>2</v>
      </c>
      <c r="B202" s="6">
        <v>5</v>
      </c>
      <c r="C202" s="6">
        <v>25</v>
      </c>
      <c r="I202" s="6">
        <f>(G201*H201)</f>
        <v>12</v>
      </c>
    </row>
    <row r="204" spans="1:9" x14ac:dyDescent="0.35">
      <c r="A204" t="s">
        <v>2</v>
      </c>
      <c r="B204">
        <v>5</v>
      </c>
      <c r="C204">
        <v>30</v>
      </c>
      <c r="D204" t="s">
        <v>55</v>
      </c>
      <c r="E204" t="s">
        <v>60</v>
      </c>
      <c r="F204">
        <v>9</v>
      </c>
      <c r="G204">
        <v>8</v>
      </c>
      <c r="H204">
        <v>2</v>
      </c>
    </row>
    <row r="205" spans="1:9" s="6" customFormat="1" x14ac:dyDescent="0.35">
      <c r="A205" s="6" t="s">
        <v>2</v>
      </c>
      <c r="B205" s="6">
        <v>5</v>
      </c>
      <c r="C205" s="6">
        <v>30</v>
      </c>
      <c r="I205" s="6">
        <f>(G204*H204)</f>
        <v>16</v>
      </c>
    </row>
    <row r="207" spans="1:9" x14ac:dyDescent="0.35">
      <c r="A207" t="s">
        <v>2</v>
      </c>
      <c r="B207">
        <v>5</v>
      </c>
      <c r="C207">
        <v>35</v>
      </c>
      <c r="D207" t="s">
        <v>55</v>
      </c>
      <c r="E207" t="s">
        <v>60</v>
      </c>
      <c r="F207">
        <v>9</v>
      </c>
      <c r="G207">
        <v>10</v>
      </c>
      <c r="H207">
        <v>2</v>
      </c>
    </row>
    <row r="208" spans="1:9" s="6" customFormat="1" x14ac:dyDescent="0.35">
      <c r="A208" s="6" t="s">
        <v>2</v>
      </c>
      <c r="B208" s="6">
        <v>5</v>
      </c>
      <c r="C208" s="6">
        <v>35</v>
      </c>
      <c r="I208" s="6">
        <f>(G207*H207)</f>
        <v>20</v>
      </c>
    </row>
    <row r="210" spans="1:9" x14ac:dyDescent="0.35">
      <c r="A210" t="s">
        <v>2</v>
      </c>
      <c r="B210">
        <v>5</v>
      </c>
      <c r="C210">
        <v>40</v>
      </c>
      <c r="D210" t="s">
        <v>55</v>
      </c>
      <c r="E210" t="s">
        <v>60</v>
      </c>
      <c r="F210">
        <v>9</v>
      </c>
      <c r="G210">
        <v>6</v>
      </c>
      <c r="H210">
        <v>2</v>
      </c>
    </row>
    <row r="211" spans="1:9" s="6" customFormat="1" x14ac:dyDescent="0.35">
      <c r="A211" s="6" t="s">
        <v>2</v>
      </c>
      <c r="B211" s="6">
        <v>5</v>
      </c>
      <c r="C211" s="6">
        <v>40</v>
      </c>
      <c r="I211" s="6">
        <f>(G210*H210)</f>
        <v>12</v>
      </c>
    </row>
    <row r="213" spans="1:9" x14ac:dyDescent="0.35">
      <c r="A213" t="s">
        <v>2</v>
      </c>
      <c r="B213">
        <v>5</v>
      </c>
      <c r="C213">
        <v>45</v>
      </c>
      <c r="D213" t="s">
        <v>55</v>
      </c>
      <c r="E213" t="s">
        <v>60</v>
      </c>
      <c r="F213">
        <v>9</v>
      </c>
      <c r="G213">
        <v>6</v>
      </c>
      <c r="H213">
        <v>2</v>
      </c>
    </row>
    <row r="214" spans="1:9" s="6" customFormat="1" x14ac:dyDescent="0.35">
      <c r="A214" s="6" t="s">
        <v>2</v>
      </c>
      <c r="B214" s="6">
        <v>5</v>
      </c>
      <c r="C214" s="6">
        <v>45</v>
      </c>
      <c r="I214" s="6">
        <f>(G213*H213)</f>
        <v>12</v>
      </c>
    </row>
    <row r="216" spans="1:9" x14ac:dyDescent="0.35">
      <c r="A216" t="s">
        <v>2</v>
      </c>
      <c r="B216">
        <v>5</v>
      </c>
      <c r="C216">
        <v>50</v>
      </c>
      <c r="D216" t="s">
        <v>55</v>
      </c>
      <c r="E216" t="s">
        <v>60</v>
      </c>
      <c r="F216">
        <v>9</v>
      </c>
      <c r="G216">
        <v>4</v>
      </c>
      <c r="H216">
        <v>2</v>
      </c>
    </row>
    <row r="217" spans="1:9" s="6" customFormat="1" x14ac:dyDescent="0.35">
      <c r="A217" s="6" t="s">
        <v>2</v>
      </c>
      <c r="B217" s="6">
        <v>5</v>
      </c>
      <c r="C217" s="6">
        <v>50</v>
      </c>
      <c r="I217" s="6">
        <f>(G216*H216)</f>
        <v>8</v>
      </c>
    </row>
    <row r="219" spans="1:9" x14ac:dyDescent="0.35">
      <c r="A219" t="s">
        <v>2</v>
      </c>
      <c r="B219">
        <v>5.5</v>
      </c>
      <c r="C219">
        <v>25</v>
      </c>
      <c r="D219" t="s">
        <v>56</v>
      </c>
      <c r="E219" t="s">
        <v>62</v>
      </c>
      <c r="F219">
        <v>10</v>
      </c>
      <c r="G219">
        <v>6</v>
      </c>
      <c r="H219">
        <v>2</v>
      </c>
    </row>
    <row r="220" spans="1:9" s="8" customFormat="1" x14ac:dyDescent="0.35">
      <c r="A220" s="8" t="s">
        <v>2</v>
      </c>
      <c r="B220" s="8">
        <v>5.5</v>
      </c>
      <c r="C220" s="8">
        <v>25</v>
      </c>
      <c r="I220" s="6">
        <f>(G219*H219)</f>
        <v>12</v>
      </c>
    </row>
    <row r="222" spans="1:9" x14ac:dyDescent="0.35">
      <c r="A222" t="s">
        <v>2</v>
      </c>
      <c r="B222">
        <v>5.5</v>
      </c>
      <c r="C222">
        <v>30</v>
      </c>
      <c r="D222" t="s">
        <v>56</v>
      </c>
      <c r="E222" t="s">
        <v>62</v>
      </c>
      <c r="F222">
        <v>10</v>
      </c>
      <c r="G222">
        <v>8</v>
      </c>
      <c r="H222">
        <v>2</v>
      </c>
    </row>
    <row r="223" spans="1:9" s="6" customFormat="1" x14ac:dyDescent="0.35">
      <c r="A223" s="6" t="s">
        <v>2</v>
      </c>
      <c r="B223" s="6">
        <v>5.5</v>
      </c>
      <c r="C223" s="6">
        <v>30</v>
      </c>
      <c r="I223" s="6">
        <f>(G222*H222)</f>
        <v>16</v>
      </c>
    </row>
    <row r="225" spans="1:9" x14ac:dyDescent="0.35">
      <c r="A225" t="s">
        <v>2</v>
      </c>
      <c r="B225">
        <v>5.5</v>
      </c>
      <c r="C225">
        <v>35</v>
      </c>
      <c r="D225" t="s">
        <v>56</v>
      </c>
      <c r="E225" t="s">
        <v>62</v>
      </c>
      <c r="F225">
        <v>10</v>
      </c>
      <c r="G225">
        <v>8</v>
      </c>
      <c r="H225">
        <v>2</v>
      </c>
    </row>
    <row r="226" spans="1:9" s="6" customFormat="1" x14ac:dyDescent="0.35">
      <c r="A226" s="6" t="s">
        <v>2</v>
      </c>
      <c r="B226" s="6">
        <v>5.5</v>
      </c>
      <c r="C226" s="6">
        <v>35</v>
      </c>
      <c r="I226" s="6">
        <f>(G225*H225)</f>
        <v>16</v>
      </c>
    </row>
    <row r="228" spans="1:9" x14ac:dyDescent="0.35">
      <c r="A228" t="s">
        <v>2</v>
      </c>
      <c r="B228">
        <v>5.5</v>
      </c>
      <c r="C228">
        <v>40</v>
      </c>
      <c r="D228" t="s">
        <v>56</v>
      </c>
      <c r="E228" t="s">
        <v>62</v>
      </c>
      <c r="F228">
        <v>10</v>
      </c>
      <c r="G228">
        <v>8</v>
      </c>
      <c r="H228">
        <v>2</v>
      </c>
    </row>
    <row r="229" spans="1:9" s="6" customFormat="1" x14ac:dyDescent="0.35">
      <c r="A229" s="6" t="s">
        <v>2</v>
      </c>
      <c r="B229" s="6">
        <v>5.5</v>
      </c>
      <c r="C229" s="6">
        <v>40</v>
      </c>
      <c r="I229" s="6">
        <f>(G228*H228)</f>
        <v>16</v>
      </c>
    </row>
    <row r="231" spans="1:9" x14ac:dyDescent="0.35">
      <c r="A231" t="s">
        <v>2</v>
      </c>
      <c r="B231">
        <v>5.5</v>
      </c>
      <c r="C231">
        <v>45</v>
      </c>
      <c r="D231" t="s">
        <v>56</v>
      </c>
      <c r="E231" t="s">
        <v>62</v>
      </c>
      <c r="F231">
        <v>10</v>
      </c>
      <c r="G231">
        <v>6</v>
      </c>
      <c r="H231">
        <v>2</v>
      </c>
    </row>
    <row r="232" spans="1:9" s="6" customFormat="1" x14ac:dyDescent="0.35">
      <c r="A232" s="6" t="s">
        <v>2</v>
      </c>
      <c r="B232" s="6">
        <v>5.5</v>
      </c>
      <c r="C232" s="6">
        <v>45</v>
      </c>
      <c r="I232" s="6">
        <f>(G231*H231)</f>
        <v>12</v>
      </c>
    </row>
    <row r="234" spans="1:9" x14ac:dyDescent="0.35">
      <c r="A234" t="s">
        <v>2</v>
      </c>
      <c r="B234">
        <v>5.5</v>
      </c>
      <c r="C234">
        <v>50</v>
      </c>
      <c r="D234" t="s">
        <v>56</v>
      </c>
      <c r="E234" t="s">
        <v>62</v>
      </c>
      <c r="F234">
        <v>10</v>
      </c>
      <c r="G234">
        <v>4</v>
      </c>
      <c r="H234">
        <v>2</v>
      </c>
    </row>
    <row r="235" spans="1:9" s="6" customFormat="1" x14ac:dyDescent="0.35">
      <c r="A235" s="6" t="s">
        <v>2</v>
      </c>
      <c r="B235" s="6">
        <v>5.5</v>
      </c>
      <c r="C235" s="6">
        <v>50</v>
      </c>
      <c r="I235" s="6">
        <f>(G234*H234)</f>
        <v>8</v>
      </c>
    </row>
    <row r="237" spans="1:9" x14ac:dyDescent="0.35">
      <c r="A237" t="s">
        <v>2</v>
      </c>
      <c r="B237">
        <v>6.5</v>
      </c>
      <c r="C237">
        <v>25</v>
      </c>
      <c r="D237" t="s">
        <v>56</v>
      </c>
      <c r="E237" t="s">
        <v>62</v>
      </c>
      <c r="F237">
        <v>10</v>
      </c>
      <c r="G237">
        <v>6</v>
      </c>
      <c r="H237">
        <v>2</v>
      </c>
    </row>
    <row r="238" spans="1:9" s="6" customFormat="1" x14ac:dyDescent="0.35">
      <c r="A238" s="6" t="s">
        <v>2</v>
      </c>
      <c r="B238" s="6">
        <v>6.5</v>
      </c>
      <c r="C238" s="6">
        <v>25</v>
      </c>
      <c r="I238" s="6">
        <f>(G237*H237)</f>
        <v>12</v>
      </c>
    </row>
    <row r="240" spans="1:9" x14ac:dyDescent="0.35">
      <c r="A240" t="s">
        <v>2</v>
      </c>
      <c r="B240">
        <v>6.5</v>
      </c>
      <c r="C240">
        <v>30</v>
      </c>
      <c r="D240" t="s">
        <v>56</v>
      </c>
      <c r="E240" t="s">
        <v>62</v>
      </c>
      <c r="F240">
        <v>10</v>
      </c>
      <c r="G240">
        <v>8</v>
      </c>
      <c r="H240">
        <v>2</v>
      </c>
    </row>
    <row r="241" spans="1:9" s="6" customFormat="1" x14ac:dyDescent="0.35">
      <c r="A241" s="6" t="s">
        <v>2</v>
      </c>
      <c r="B241" s="6">
        <v>6.5</v>
      </c>
      <c r="C241" s="6">
        <v>30</v>
      </c>
      <c r="I241" s="6">
        <f>(G240*H240)</f>
        <v>16</v>
      </c>
    </row>
    <row r="243" spans="1:9" x14ac:dyDescent="0.35">
      <c r="A243" t="s">
        <v>2</v>
      </c>
      <c r="B243">
        <v>6.5</v>
      </c>
      <c r="C243">
        <v>35</v>
      </c>
      <c r="D243" t="s">
        <v>56</v>
      </c>
      <c r="E243" t="s">
        <v>62</v>
      </c>
      <c r="F243">
        <v>10</v>
      </c>
      <c r="G243">
        <v>8</v>
      </c>
      <c r="H243">
        <v>2</v>
      </c>
    </row>
    <row r="244" spans="1:9" s="6" customFormat="1" x14ac:dyDescent="0.35">
      <c r="A244" s="6" t="s">
        <v>2</v>
      </c>
      <c r="B244" s="6">
        <v>6.5</v>
      </c>
      <c r="C244" s="6">
        <v>35</v>
      </c>
      <c r="I244" s="6">
        <f>(G243*H243)</f>
        <v>16</v>
      </c>
    </row>
    <row r="246" spans="1:9" x14ac:dyDescent="0.35">
      <c r="A246" t="s">
        <v>2</v>
      </c>
      <c r="B246">
        <v>6.5</v>
      </c>
      <c r="C246">
        <v>40</v>
      </c>
      <c r="D246" t="s">
        <v>56</v>
      </c>
      <c r="E246" t="s">
        <v>62</v>
      </c>
      <c r="F246">
        <v>10</v>
      </c>
      <c r="G246">
        <v>8</v>
      </c>
      <c r="H246">
        <v>2</v>
      </c>
    </row>
    <row r="247" spans="1:9" s="6" customFormat="1" x14ac:dyDescent="0.35">
      <c r="A247" s="6" t="s">
        <v>2</v>
      </c>
      <c r="B247" s="6">
        <v>6.5</v>
      </c>
      <c r="C247" s="6">
        <v>40</v>
      </c>
      <c r="I247" s="6">
        <f>(G246*H246)</f>
        <v>16</v>
      </c>
    </row>
    <row r="249" spans="1:9" x14ac:dyDescent="0.35">
      <c r="A249" t="s">
        <v>2</v>
      </c>
      <c r="B249">
        <v>6.5</v>
      </c>
      <c r="C249">
        <v>45</v>
      </c>
      <c r="D249" t="s">
        <v>56</v>
      </c>
      <c r="E249" t="s">
        <v>62</v>
      </c>
      <c r="F249">
        <v>10</v>
      </c>
      <c r="G249">
        <v>6</v>
      </c>
      <c r="H249">
        <v>2</v>
      </c>
    </row>
    <row r="250" spans="1:9" s="6" customFormat="1" x14ac:dyDescent="0.35">
      <c r="A250" s="6" t="s">
        <v>2</v>
      </c>
      <c r="B250" s="6">
        <v>6.5</v>
      </c>
      <c r="C250" s="6">
        <v>45</v>
      </c>
      <c r="I250" s="6">
        <f>(G249*H249)</f>
        <v>12</v>
      </c>
    </row>
    <row r="252" spans="1:9" x14ac:dyDescent="0.35">
      <c r="A252" t="s">
        <v>2</v>
      </c>
      <c r="B252">
        <v>6.5</v>
      </c>
      <c r="C252">
        <v>50</v>
      </c>
      <c r="D252" t="s">
        <v>56</v>
      </c>
      <c r="E252" t="s">
        <v>62</v>
      </c>
      <c r="F252">
        <v>10</v>
      </c>
      <c r="G252">
        <v>6</v>
      </c>
      <c r="H252">
        <v>2</v>
      </c>
    </row>
    <row r="253" spans="1:9" s="6" customFormat="1" x14ac:dyDescent="0.35">
      <c r="A253" s="6" t="s">
        <v>2</v>
      </c>
      <c r="B253" s="6">
        <v>6.5</v>
      </c>
      <c r="C253" s="6">
        <v>50</v>
      </c>
      <c r="I253" s="6">
        <f>(G252*H252)</f>
        <v>12</v>
      </c>
    </row>
    <row r="255" spans="1:9" x14ac:dyDescent="0.35">
      <c r="A255" t="s">
        <v>2</v>
      </c>
      <c r="B255">
        <v>6.5</v>
      </c>
      <c r="C255">
        <v>55</v>
      </c>
      <c r="D255" t="s">
        <v>56</v>
      </c>
      <c r="E255" t="s">
        <v>62</v>
      </c>
      <c r="F255">
        <v>10</v>
      </c>
      <c r="G255">
        <v>4</v>
      </c>
      <c r="H255">
        <v>2</v>
      </c>
    </row>
    <row r="256" spans="1:9" s="6" customFormat="1" x14ac:dyDescent="0.35">
      <c r="A256" s="6" t="s">
        <v>2</v>
      </c>
      <c r="B256" s="6">
        <v>6.5</v>
      </c>
      <c r="C256" s="6">
        <v>55</v>
      </c>
      <c r="I256" s="6">
        <f>(G255*H255)</f>
        <v>8</v>
      </c>
    </row>
    <row r="258" spans="1:9" x14ac:dyDescent="0.35">
      <c r="A258" t="s">
        <v>2</v>
      </c>
      <c r="B258">
        <v>6.5</v>
      </c>
      <c r="C258">
        <v>60</v>
      </c>
      <c r="D258" t="s">
        <v>6</v>
      </c>
      <c r="E258" t="s">
        <v>29</v>
      </c>
      <c r="F258">
        <v>12</v>
      </c>
      <c r="G258">
        <v>3</v>
      </c>
      <c r="H258">
        <v>2</v>
      </c>
    </row>
    <row r="259" spans="1:9" s="6" customFormat="1" x14ac:dyDescent="0.35">
      <c r="A259" s="6" t="s">
        <v>2</v>
      </c>
      <c r="B259" s="6">
        <v>6.5</v>
      </c>
      <c r="C259" s="6">
        <v>60</v>
      </c>
      <c r="I259" s="6">
        <f>(G258*H258)</f>
        <v>6</v>
      </c>
    </row>
    <row r="261" spans="1:9" x14ac:dyDescent="0.35">
      <c r="A261" t="s">
        <v>2</v>
      </c>
      <c r="B261">
        <v>6.5</v>
      </c>
      <c r="C261">
        <v>70</v>
      </c>
      <c r="D261" t="s">
        <v>6</v>
      </c>
      <c r="E261" t="s">
        <v>30</v>
      </c>
      <c r="F261">
        <v>12</v>
      </c>
      <c r="G261">
        <v>3</v>
      </c>
      <c r="H261">
        <v>2</v>
      </c>
    </row>
    <row r="262" spans="1:9" s="6" customFormat="1" x14ac:dyDescent="0.35">
      <c r="A262" s="6" t="s">
        <v>2</v>
      </c>
      <c r="B262" s="6">
        <v>6.5</v>
      </c>
      <c r="C262" s="6">
        <v>70</v>
      </c>
      <c r="I262" s="6">
        <f>(G261*H261)</f>
        <v>6</v>
      </c>
    </row>
    <row r="264" spans="1:9" x14ac:dyDescent="0.35">
      <c r="A264" t="s">
        <v>2</v>
      </c>
      <c r="B264">
        <v>6.5</v>
      </c>
      <c r="C264">
        <v>80</v>
      </c>
      <c r="D264" t="s">
        <v>6</v>
      </c>
      <c r="E264" t="s">
        <v>31</v>
      </c>
      <c r="F264">
        <v>12</v>
      </c>
      <c r="G264">
        <v>3</v>
      </c>
      <c r="H264">
        <v>2</v>
      </c>
    </row>
    <row r="265" spans="1:9" s="6" customFormat="1" x14ac:dyDescent="0.35">
      <c r="A265" s="6" t="s">
        <v>2</v>
      </c>
      <c r="B265" s="6">
        <v>6.5</v>
      </c>
      <c r="C265" s="6">
        <v>80</v>
      </c>
      <c r="I265" s="6">
        <f>(G264*H264)</f>
        <v>6</v>
      </c>
    </row>
    <row r="267" spans="1:9" x14ac:dyDescent="0.35">
      <c r="A267" t="s">
        <v>2</v>
      </c>
      <c r="B267">
        <v>6.5</v>
      </c>
      <c r="C267">
        <v>90</v>
      </c>
      <c r="D267" t="s">
        <v>6</v>
      </c>
      <c r="E267" t="s">
        <v>32</v>
      </c>
      <c r="F267">
        <v>12</v>
      </c>
      <c r="G267">
        <v>3</v>
      </c>
      <c r="H267">
        <v>2</v>
      </c>
    </row>
    <row r="268" spans="1:9" s="6" customFormat="1" x14ac:dyDescent="0.35">
      <c r="A268" s="6" t="s">
        <v>2</v>
      </c>
      <c r="B268" s="6">
        <v>6.5</v>
      </c>
      <c r="C268" s="6">
        <v>90</v>
      </c>
      <c r="I268" s="6">
        <f>(G267*H267)</f>
        <v>6</v>
      </c>
    </row>
    <row r="270" spans="1:9" x14ac:dyDescent="0.35">
      <c r="A270" t="s">
        <v>2</v>
      </c>
      <c r="B270">
        <v>7.5</v>
      </c>
      <c r="C270">
        <v>30</v>
      </c>
      <c r="D270" t="s">
        <v>56</v>
      </c>
      <c r="E270" t="s">
        <v>62</v>
      </c>
      <c r="F270">
        <v>10</v>
      </c>
      <c r="G270">
        <v>4</v>
      </c>
      <c r="H270">
        <v>2</v>
      </c>
    </row>
    <row r="271" spans="1:9" s="6" customFormat="1" x14ac:dyDescent="0.35">
      <c r="A271" s="6" t="s">
        <v>2</v>
      </c>
      <c r="B271" s="6">
        <v>7.5</v>
      </c>
      <c r="C271" s="6">
        <v>30</v>
      </c>
      <c r="I271" s="6">
        <f>(G270*H270)</f>
        <v>8</v>
      </c>
    </row>
    <row r="273" spans="1:9" x14ac:dyDescent="0.35">
      <c r="A273" t="s">
        <v>2</v>
      </c>
      <c r="B273">
        <v>7.5</v>
      </c>
      <c r="C273">
        <v>35</v>
      </c>
      <c r="D273" t="s">
        <v>56</v>
      </c>
      <c r="E273" t="s">
        <v>62</v>
      </c>
      <c r="F273">
        <v>10</v>
      </c>
      <c r="G273">
        <v>4</v>
      </c>
      <c r="H273">
        <v>2</v>
      </c>
    </row>
    <row r="274" spans="1:9" s="6" customFormat="1" x14ac:dyDescent="0.35">
      <c r="A274" s="6" t="s">
        <v>2</v>
      </c>
      <c r="B274" s="6">
        <v>7.5</v>
      </c>
      <c r="C274" s="6">
        <v>35</v>
      </c>
      <c r="I274" s="6">
        <f>(G273*H273)</f>
        <v>8</v>
      </c>
    </row>
    <row r="276" spans="1:9" x14ac:dyDescent="0.35">
      <c r="A276" t="s">
        <v>2</v>
      </c>
      <c r="B276">
        <v>7.5</v>
      </c>
      <c r="C276">
        <v>40</v>
      </c>
      <c r="D276" t="s">
        <v>56</v>
      </c>
      <c r="E276" t="s">
        <v>62</v>
      </c>
      <c r="F276">
        <v>10</v>
      </c>
      <c r="G276">
        <v>4</v>
      </c>
      <c r="H276">
        <v>2</v>
      </c>
    </row>
    <row r="277" spans="1:9" s="6" customFormat="1" x14ac:dyDescent="0.35">
      <c r="A277" s="6" t="s">
        <v>2</v>
      </c>
      <c r="B277" s="6">
        <v>7.5</v>
      </c>
      <c r="C277" s="6">
        <v>40</v>
      </c>
      <c r="I277" s="6">
        <f>(G276*H276)</f>
        <v>8</v>
      </c>
    </row>
    <row r="279" spans="1:9" x14ac:dyDescent="0.35">
      <c r="A279" t="s">
        <v>2</v>
      </c>
      <c r="B279">
        <v>7.5</v>
      </c>
      <c r="C279">
        <v>45</v>
      </c>
      <c r="D279" t="s">
        <v>56</v>
      </c>
      <c r="E279" t="s">
        <v>62</v>
      </c>
      <c r="F279">
        <v>10</v>
      </c>
      <c r="G279">
        <v>4</v>
      </c>
      <c r="H279">
        <v>2</v>
      </c>
    </row>
    <row r="280" spans="1:9" s="6" customFormat="1" x14ac:dyDescent="0.35">
      <c r="A280" s="6" t="s">
        <v>2</v>
      </c>
      <c r="B280" s="6">
        <v>7.5</v>
      </c>
      <c r="C280" s="6">
        <v>45</v>
      </c>
      <c r="I280" s="6">
        <f>(G279*H279)</f>
        <v>8</v>
      </c>
    </row>
    <row r="282" spans="1:9" x14ac:dyDescent="0.35">
      <c r="A282" t="s">
        <v>2</v>
      </c>
      <c r="B282">
        <v>7.5</v>
      </c>
      <c r="C282">
        <v>50</v>
      </c>
      <c r="D282" t="s">
        <v>56</v>
      </c>
      <c r="E282" t="s">
        <v>62</v>
      </c>
      <c r="F282">
        <v>10</v>
      </c>
      <c r="G282">
        <v>4</v>
      </c>
      <c r="H282">
        <v>2</v>
      </c>
    </row>
    <row r="283" spans="1:9" s="6" customFormat="1" x14ac:dyDescent="0.35">
      <c r="A283" s="6" t="s">
        <v>2</v>
      </c>
      <c r="B283" s="6">
        <v>7.5</v>
      </c>
      <c r="C283" s="6">
        <v>50</v>
      </c>
      <c r="I283" s="6">
        <f>(G282*H282)</f>
        <v>8</v>
      </c>
    </row>
    <row r="285" spans="1:9" x14ac:dyDescent="0.35">
      <c r="A285" t="s">
        <v>2</v>
      </c>
      <c r="B285">
        <v>7.5</v>
      </c>
      <c r="C285">
        <v>55</v>
      </c>
      <c r="D285" t="s">
        <v>56</v>
      </c>
      <c r="E285" t="s">
        <v>62</v>
      </c>
      <c r="F285">
        <v>10</v>
      </c>
      <c r="G285">
        <v>4</v>
      </c>
      <c r="H285">
        <v>2</v>
      </c>
    </row>
    <row r="286" spans="1:9" s="8" customFormat="1" x14ac:dyDescent="0.35">
      <c r="A286" s="6" t="s">
        <v>2</v>
      </c>
      <c r="B286" s="6">
        <v>7.5</v>
      </c>
      <c r="C286" s="6">
        <v>55</v>
      </c>
      <c r="I286" s="6">
        <f>(G285*H285)</f>
        <v>8</v>
      </c>
    </row>
    <row r="288" spans="1:9" x14ac:dyDescent="0.35">
      <c r="A288" t="s">
        <v>2</v>
      </c>
      <c r="B288">
        <v>7.5</v>
      </c>
      <c r="C288">
        <v>60</v>
      </c>
      <c r="D288" t="s">
        <v>6</v>
      </c>
      <c r="E288" t="s">
        <v>33</v>
      </c>
      <c r="F288">
        <v>12</v>
      </c>
      <c r="G288">
        <v>3</v>
      </c>
      <c r="H288">
        <v>2</v>
      </c>
    </row>
    <row r="289" spans="1:9" s="6" customFormat="1" x14ac:dyDescent="0.35">
      <c r="A289" s="6" t="s">
        <v>2</v>
      </c>
      <c r="B289" s="6">
        <v>7.5</v>
      </c>
      <c r="C289" s="6">
        <v>60</v>
      </c>
      <c r="I289" s="6">
        <f>(G288*H288)</f>
        <v>6</v>
      </c>
    </row>
    <row r="291" spans="1:9" x14ac:dyDescent="0.35">
      <c r="A291" t="s">
        <v>2</v>
      </c>
      <c r="B291">
        <v>7.5</v>
      </c>
      <c r="C291">
        <v>70</v>
      </c>
      <c r="D291" t="s">
        <v>6</v>
      </c>
      <c r="E291" t="s">
        <v>34</v>
      </c>
      <c r="F291">
        <v>12</v>
      </c>
      <c r="G291">
        <v>3</v>
      </c>
      <c r="H291">
        <v>2</v>
      </c>
    </row>
    <row r="292" spans="1:9" s="6" customFormat="1" x14ac:dyDescent="0.35">
      <c r="A292" s="6" t="s">
        <v>2</v>
      </c>
      <c r="B292" s="6">
        <v>7.5</v>
      </c>
      <c r="C292" s="6">
        <v>70</v>
      </c>
      <c r="I292" s="6">
        <f>(G291*H291)</f>
        <v>6</v>
      </c>
    </row>
    <row r="294" spans="1:9" x14ac:dyDescent="0.35">
      <c r="A294" t="s">
        <v>2</v>
      </c>
      <c r="B294">
        <v>7.5</v>
      </c>
      <c r="C294">
        <v>80</v>
      </c>
      <c r="D294" t="s">
        <v>6</v>
      </c>
      <c r="E294" t="s">
        <v>35</v>
      </c>
      <c r="F294">
        <v>12</v>
      </c>
      <c r="G294">
        <v>3</v>
      </c>
      <c r="H294">
        <v>2</v>
      </c>
    </row>
    <row r="295" spans="1:9" s="6" customFormat="1" x14ac:dyDescent="0.35">
      <c r="A295" s="6" t="s">
        <v>2</v>
      </c>
      <c r="B295" s="6">
        <v>7.5</v>
      </c>
      <c r="C295" s="6">
        <v>80</v>
      </c>
      <c r="I295" s="6">
        <f>(G294*H294)</f>
        <v>6</v>
      </c>
    </row>
    <row r="297" spans="1:9" x14ac:dyDescent="0.35">
      <c r="A297" t="s">
        <v>2</v>
      </c>
      <c r="B297">
        <v>7.5</v>
      </c>
      <c r="C297">
        <v>90</v>
      </c>
      <c r="D297" t="s">
        <v>6</v>
      </c>
      <c r="E297" t="s">
        <v>36</v>
      </c>
      <c r="F297">
        <v>12</v>
      </c>
      <c r="G297">
        <v>3</v>
      </c>
      <c r="H297">
        <v>2</v>
      </c>
    </row>
    <row r="298" spans="1:9" s="6" customFormat="1" x14ac:dyDescent="0.35">
      <c r="A298" s="6" t="s">
        <v>2</v>
      </c>
      <c r="B298" s="6">
        <v>7.5</v>
      </c>
      <c r="C298" s="6">
        <v>90</v>
      </c>
      <c r="I298" s="6">
        <f>(G297*H297)</f>
        <v>6</v>
      </c>
    </row>
    <row r="300" spans="1:9" x14ac:dyDescent="0.35">
      <c r="A300" t="s">
        <v>2</v>
      </c>
      <c r="B300">
        <v>8.5</v>
      </c>
      <c r="C300">
        <v>30</v>
      </c>
      <c r="D300" t="s">
        <v>56</v>
      </c>
      <c r="E300" t="s">
        <v>62</v>
      </c>
      <c r="F300">
        <v>10</v>
      </c>
      <c r="G300">
        <v>2</v>
      </c>
      <c r="H300">
        <v>2</v>
      </c>
    </row>
    <row r="301" spans="1:9" s="6" customFormat="1" x14ac:dyDescent="0.35">
      <c r="A301" s="6" t="s">
        <v>2</v>
      </c>
      <c r="B301" s="6">
        <v>8.5</v>
      </c>
      <c r="C301" s="6">
        <v>30</v>
      </c>
      <c r="I301" s="6">
        <f>(G300*H300)</f>
        <v>4</v>
      </c>
    </row>
    <row r="303" spans="1:9" x14ac:dyDescent="0.35">
      <c r="A303" t="s">
        <v>2</v>
      </c>
      <c r="B303">
        <v>8.5</v>
      </c>
      <c r="C303">
        <v>35</v>
      </c>
      <c r="D303" t="s">
        <v>56</v>
      </c>
      <c r="E303" t="s">
        <v>62</v>
      </c>
      <c r="F303">
        <v>10</v>
      </c>
      <c r="G303">
        <v>2</v>
      </c>
      <c r="H303">
        <v>2</v>
      </c>
    </row>
    <row r="304" spans="1:9" s="6" customFormat="1" x14ac:dyDescent="0.35">
      <c r="A304" s="6" t="s">
        <v>2</v>
      </c>
      <c r="B304" s="6">
        <v>8.5</v>
      </c>
      <c r="C304" s="6">
        <v>35</v>
      </c>
      <c r="I304" s="6">
        <f>(G303*H303)</f>
        <v>4</v>
      </c>
    </row>
    <row r="306" spans="1:9" x14ac:dyDescent="0.35">
      <c r="A306" t="s">
        <v>2</v>
      </c>
      <c r="B306">
        <v>8.5</v>
      </c>
      <c r="C306">
        <v>40</v>
      </c>
      <c r="D306" t="s">
        <v>56</v>
      </c>
      <c r="E306" t="s">
        <v>62</v>
      </c>
      <c r="F306">
        <v>10</v>
      </c>
      <c r="G306">
        <v>2</v>
      </c>
      <c r="H306">
        <v>2</v>
      </c>
    </row>
    <row r="307" spans="1:9" s="6" customFormat="1" x14ac:dyDescent="0.35">
      <c r="A307" s="6" t="s">
        <v>2</v>
      </c>
      <c r="B307" s="6">
        <v>8.5</v>
      </c>
      <c r="C307" s="6">
        <v>40</v>
      </c>
      <c r="I307" s="6">
        <f>(G306*H306)</f>
        <v>4</v>
      </c>
    </row>
    <row r="309" spans="1:9" x14ac:dyDescent="0.35">
      <c r="A309" t="s">
        <v>2</v>
      </c>
      <c r="B309">
        <v>8.5</v>
      </c>
      <c r="C309">
        <v>45</v>
      </c>
      <c r="D309" t="s">
        <v>56</v>
      </c>
      <c r="E309" t="s">
        <v>62</v>
      </c>
      <c r="F309">
        <v>10</v>
      </c>
      <c r="G309">
        <v>2</v>
      </c>
      <c r="H309">
        <v>2</v>
      </c>
    </row>
    <row r="310" spans="1:9" s="6" customFormat="1" x14ac:dyDescent="0.35">
      <c r="A310" s="6" t="s">
        <v>2</v>
      </c>
      <c r="B310" s="6">
        <v>8.5</v>
      </c>
      <c r="C310" s="6">
        <v>45</v>
      </c>
      <c r="I310" s="6">
        <f>(G309*H309)</f>
        <v>4</v>
      </c>
    </row>
    <row r="312" spans="1:9" x14ac:dyDescent="0.35">
      <c r="A312" t="s">
        <v>2</v>
      </c>
      <c r="B312">
        <v>8.5</v>
      </c>
      <c r="C312">
        <v>50</v>
      </c>
      <c r="D312" t="s">
        <v>56</v>
      </c>
      <c r="E312" t="s">
        <v>62</v>
      </c>
      <c r="F312">
        <v>10</v>
      </c>
      <c r="G312">
        <v>2</v>
      </c>
      <c r="H312">
        <v>2</v>
      </c>
    </row>
    <row r="313" spans="1:9" s="6" customFormat="1" x14ac:dyDescent="0.35">
      <c r="A313" s="6" t="s">
        <v>2</v>
      </c>
      <c r="B313" s="6">
        <v>8.5</v>
      </c>
      <c r="C313" s="6">
        <v>50</v>
      </c>
      <c r="I313" s="6">
        <f>(G312*H312)</f>
        <v>4</v>
      </c>
    </row>
    <row r="315" spans="1:9" x14ac:dyDescent="0.35">
      <c r="A315" t="s">
        <v>2</v>
      </c>
      <c r="B315">
        <v>8.5</v>
      </c>
      <c r="C315">
        <v>55</v>
      </c>
      <c r="D315" t="s">
        <v>56</v>
      </c>
      <c r="E315" t="s">
        <v>62</v>
      </c>
      <c r="F315">
        <v>10</v>
      </c>
      <c r="G315">
        <v>2</v>
      </c>
      <c r="H315">
        <v>2</v>
      </c>
    </row>
    <row r="316" spans="1:9" s="6" customFormat="1" x14ac:dyDescent="0.35">
      <c r="A316" s="6" t="s">
        <v>2</v>
      </c>
      <c r="B316" s="6">
        <v>8.5</v>
      </c>
      <c r="C316" s="6">
        <v>55</v>
      </c>
      <c r="I316" s="6">
        <f>(G315*H315)</f>
        <v>4</v>
      </c>
    </row>
    <row r="318" spans="1:9" x14ac:dyDescent="0.35">
      <c r="A318" t="s">
        <v>2</v>
      </c>
      <c r="B318">
        <v>8.5</v>
      </c>
      <c r="C318">
        <v>60</v>
      </c>
      <c r="D318" t="s">
        <v>6</v>
      </c>
      <c r="E318" t="s">
        <v>37</v>
      </c>
      <c r="F318">
        <v>12</v>
      </c>
      <c r="G318">
        <v>3</v>
      </c>
      <c r="H318">
        <v>2</v>
      </c>
    </row>
    <row r="319" spans="1:9" s="6" customFormat="1" x14ac:dyDescent="0.35">
      <c r="A319" s="6" t="s">
        <v>2</v>
      </c>
      <c r="B319" s="6">
        <v>8.5</v>
      </c>
      <c r="C319" s="6">
        <v>60</v>
      </c>
      <c r="I319" s="6">
        <f>(G318*H318)</f>
        <v>6</v>
      </c>
    </row>
    <row r="321" spans="1:9" x14ac:dyDescent="0.35">
      <c r="A321" t="s">
        <v>2</v>
      </c>
      <c r="B321">
        <v>8.5</v>
      </c>
      <c r="C321">
        <v>70</v>
      </c>
      <c r="D321" t="s">
        <v>6</v>
      </c>
      <c r="E321" t="s">
        <v>38</v>
      </c>
      <c r="F321">
        <v>12</v>
      </c>
      <c r="G321">
        <v>3</v>
      </c>
      <c r="H321">
        <v>2</v>
      </c>
    </row>
    <row r="322" spans="1:9" s="6" customFormat="1" x14ac:dyDescent="0.35">
      <c r="A322" s="6" t="s">
        <v>2</v>
      </c>
      <c r="B322" s="6">
        <v>8.5</v>
      </c>
      <c r="C322" s="6">
        <v>70</v>
      </c>
      <c r="I322" s="6">
        <f>(G321*H321)</f>
        <v>6</v>
      </c>
    </row>
    <row r="324" spans="1:9" x14ac:dyDescent="0.35">
      <c r="A324" t="s">
        <v>2</v>
      </c>
      <c r="B324">
        <v>8.5</v>
      </c>
      <c r="C324">
        <v>80</v>
      </c>
      <c r="D324" t="s">
        <v>6</v>
      </c>
      <c r="E324" t="s">
        <v>39</v>
      </c>
      <c r="F324">
        <v>12</v>
      </c>
      <c r="G324">
        <v>3</v>
      </c>
      <c r="H324">
        <v>2</v>
      </c>
    </row>
    <row r="325" spans="1:9" s="6" customFormat="1" x14ac:dyDescent="0.35">
      <c r="A325" s="6" t="s">
        <v>2</v>
      </c>
      <c r="B325" s="6">
        <v>8.5</v>
      </c>
      <c r="C325" s="6">
        <v>80</v>
      </c>
      <c r="I325" s="6">
        <f>(G324*H324)</f>
        <v>6</v>
      </c>
    </row>
    <row r="327" spans="1:9" x14ac:dyDescent="0.35">
      <c r="A327" t="s">
        <v>2</v>
      </c>
      <c r="B327">
        <v>8.5</v>
      </c>
      <c r="C327">
        <v>90</v>
      </c>
      <c r="D327" t="s">
        <v>6</v>
      </c>
      <c r="E327" t="s">
        <v>40</v>
      </c>
      <c r="F327">
        <v>12</v>
      </c>
      <c r="G327">
        <v>3</v>
      </c>
      <c r="H327">
        <v>2</v>
      </c>
    </row>
    <row r="328" spans="1:9" s="6" customFormat="1" x14ac:dyDescent="0.35">
      <c r="A328" s="6" t="s">
        <v>2</v>
      </c>
      <c r="B328" s="6">
        <v>8.5</v>
      </c>
      <c r="C328" s="6">
        <v>90</v>
      </c>
      <c r="I328" s="6">
        <f>(G327*H327)</f>
        <v>6</v>
      </c>
    </row>
    <row r="330" spans="1:9" x14ac:dyDescent="0.35">
      <c r="A330" t="s">
        <v>2</v>
      </c>
      <c r="B330">
        <v>8.5</v>
      </c>
      <c r="C330">
        <v>100</v>
      </c>
      <c r="D330" t="s">
        <v>6</v>
      </c>
      <c r="E330" t="s">
        <v>41</v>
      </c>
      <c r="F330">
        <v>12</v>
      </c>
      <c r="G330">
        <v>3</v>
      </c>
      <c r="H330">
        <v>2</v>
      </c>
    </row>
    <row r="331" spans="1:9" s="6" customFormat="1" x14ac:dyDescent="0.35">
      <c r="A331" s="6" t="s">
        <v>2</v>
      </c>
      <c r="B331" s="6">
        <v>8.5</v>
      </c>
      <c r="C331" s="6">
        <v>100</v>
      </c>
      <c r="I331" s="6">
        <f>(G330*H330)</f>
        <v>6</v>
      </c>
    </row>
    <row r="333" spans="1:9" x14ac:dyDescent="0.35">
      <c r="A333" t="s">
        <v>2</v>
      </c>
      <c r="B333">
        <v>9.5</v>
      </c>
      <c r="C333">
        <v>40</v>
      </c>
      <c r="D333" t="s">
        <v>23</v>
      </c>
      <c r="E333" t="s">
        <v>61</v>
      </c>
      <c r="F333">
        <v>21</v>
      </c>
      <c r="G333">
        <v>2</v>
      </c>
      <c r="H333">
        <v>1</v>
      </c>
    </row>
    <row r="334" spans="1:9" s="6" customFormat="1" x14ac:dyDescent="0.35">
      <c r="A334" s="6" t="s">
        <v>2</v>
      </c>
      <c r="B334" s="6">
        <v>9.5</v>
      </c>
      <c r="C334" s="6">
        <v>40</v>
      </c>
      <c r="I334" s="6">
        <f>(G333*H333)</f>
        <v>2</v>
      </c>
    </row>
    <row r="336" spans="1:9" x14ac:dyDescent="0.35">
      <c r="A336" t="s">
        <v>2</v>
      </c>
      <c r="B336">
        <v>9.5</v>
      </c>
      <c r="C336">
        <v>45</v>
      </c>
      <c r="D336" t="s">
        <v>23</v>
      </c>
      <c r="E336" t="s">
        <v>61</v>
      </c>
      <c r="F336">
        <v>21</v>
      </c>
      <c r="G336">
        <v>2</v>
      </c>
      <c r="H336">
        <v>1</v>
      </c>
    </row>
    <row r="337" spans="1:9" s="6" customFormat="1" x14ac:dyDescent="0.35">
      <c r="A337" s="6" t="s">
        <v>2</v>
      </c>
      <c r="B337" s="6">
        <v>9.5</v>
      </c>
      <c r="C337" s="6">
        <v>45</v>
      </c>
      <c r="I337" s="6">
        <f>(G336*H336)</f>
        <v>2</v>
      </c>
    </row>
    <row r="339" spans="1:9" x14ac:dyDescent="0.35">
      <c r="A339" t="s">
        <v>2</v>
      </c>
      <c r="B339">
        <v>9.5</v>
      </c>
      <c r="C339">
        <v>50</v>
      </c>
      <c r="D339" t="s">
        <v>23</v>
      </c>
      <c r="E339" t="s">
        <v>61</v>
      </c>
      <c r="F339">
        <v>21</v>
      </c>
      <c r="G339">
        <v>2</v>
      </c>
      <c r="H339">
        <v>1</v>
      </c>
    </row>
    <row r="340" spans="1:9" s="6" customFormat="1" x14ac:dyDescent="0.35">
      <c r="A340" s="6" t="s">
        <v>2</v>
      </c>
      <c r="B340" s="6">
        <v>9.5</v>
      </c>
      <c r="C340" s="6">
        <v>50</v>
      </c>
      <c r="I340" s="6">
        <f>(G339*H339)</f>
        <v>2</v>
      </c>
    </row>
    <row r="342" spans="1:9" x14ac:dyDescent="0.35">
      <c r="A342" t="s">
        <v>2</v>
      </c>
      <c r="B342">
        <v>9.5</v>
      </c>
      <c r="C342">
        <v>55</v>
      </c>
      <c r="D342" t="s">
        <v>23</v>
      </c>
      <c r="E342" t="s">
        <v>61</v>
      </c>
      <c r="F342">
        <v>21</v>
      </c>
      <c r="G342">
        <v>2</v>
      </c>
      <c r="H342">
        <v>1</v>
      </c>
    </row>
    <row r="343" spans="1:9" s="6" customFormat="1" x14ac:dyDescent="0.35">
      <c r="A343" s="6" t="s">
        <v>2</v>
      </c>
      <c r="B343" s="6">
        <v>9.5</v>
      </c>
      <c r="C343" s="6">
        <v>55</v>
      </c>
      <c r="I343" s="6">
        <f>(G342*H342)</f>
        <v>2</v>
      </c>
    </row>
    <row r="345" spans="1:9" x14ac:dyDescent="0.35">
      <c r="A345" t="s">
        <v>2</v>
      </c>
      <c r="B345">
        <v>9.5</v>
      </c>
      <c r="C345">
        <v>60</v>
      </c>
      <c r="D345" t="s">
        <v>23</v>
      </c>
      <c r="E345" t="s">
        <v>61</v>
      </c>
      <c r="F345">
        <v>21</v>
      </c>
      <c r="G345">
        <v>2</v>
      </c>
      <c r="H345">
        <v>1</v>
      </c>
    </row>
    <row r="346" spans="1:9" s="6" customFormat="1" x14ac:dyDescent="0.35">
      <c r="A346" s="6" t="s">
        <v>2</v>
      </c>
      <c r="B346" s="6">
        <v>9.5</v>
      </c>
      <c r="C346" s="6">
        <v>60</v>
      </c>
      <c r="I346" s="6">
        <f>(G345*H345)</f>
        <v>2</v>
      </c>
    </row>
    <row r="348" spans="1:9" x14ac:dyDescent="0.35">
      <c r="A348" t="s">
        <v>2</v>
      </c>
      <c r="B348">
        <v>9.5</v>
      </c>
      <c r="C348">
        <v>65</v>
      </c>
      <c r="D348" t="s">
        <v>23</v>
      </c>
      <c r="E348" t="s">
        <v>61</v>
      </c>
      <c r="F348">
        <v>21</v>
      </c>
      <c r="G348">
        <v>2</v>
      </c>
      <c r="H348">
        <v>1</v>
      </c>
    </row>
    <row r="349" spans="1:9" s="6" customFormat="1" x14ac:dyDescent="0.35">
      <c r="A349" s="6" t="s">
        <v>2</v>
      </c>
      <c r="B349" s="6">
        <v>9.5</v>
      </c>
      <c r="C349" s="6">
        <v>65</v>
      </c>
      <c r="I349" s="6">
        <f>(G348*H348)</f>
        <v>2</v>
      </c>
    </row>
    <row r="351" spans="1:9" x14ac:dyDescent="0.35">
      <c r="A351" t="s">
        <v>2</v>
      </c>
      <c r="B351">
        <v>9.5</v>
      </c>
      <c r="C351">
        <v>70</v>
      </c>
      <c r="D351" t="s">
        <v>23</v>
      </c>
      <c r="E351" t="s">
        <v>61</v>
      </c>
      <c r="F351">
        <v>21</v>
      </c>
      <c r="G351">
        <v>2</v>
      </c>
      <c r="H351">
        <v>1</v>
      </c>
    </row>
    <row r="352" spans="1:9" s="6" customFormat="1" x14ac:dyDescent="0.35">
      <c r="A352" s="6" t="s">
        <v>2</v>
      </c>
      <c r="B352" s="6">
        <v>9.5</v>
      </c>
      <c r="C352" s="6">
        <v>70</v>
      </c>
      <c r="I352" s="6">
        <f>(G351*H351)</f>
        <v>2</v>
      </c>
    </row>
    <row r="354" spans="1:9" x14ac:dyDescent="0.35">
      <c r="A354" t="s">
        <v>2</v>
      </c>
      <c r="B354">
        <v>9.5</v>
      </c>
      <c r="C354">
        <v>80</v>
      </c>
      <c r="D354" t="s">
        <v>23</v>
      </c>
      <c r="E354" t="s">
        <v>61</v>
      </c>
      <c r="F354">
        <v>21</v>
      </c>
      <c r="G354">
        <v>2</v>
      </c>
      <c r="H354">
        <v>1</v>
      </c>
    </row>
    <row r="355" spans="1:9" s="6" customFormat="1" x14ac:dyDescent="0.35">
      <c r="A355" s="6" t="s">
        <v>2</v>
      </c>
      <c r="B355" s="6">
        <v>9.5</v>
      </c>
      <c r="C355" s="6">
        <v>80</v>
      </c>
      <c r="I355" s="6">
        <f>(G354*H354)</f>
        <v>2</v>
      </c>
    </row>
    <row r="357" spans="1:9" x14ac:dyDescent="0.35">
      <c r="A357" t="s">
        <v>2</v>
      </c>
      <c r="B357">
        <v>9.5</v>
      </c>
      <c r="C357">
        <v>90</v>
      </c>
      <c r="D357" t="s">
        <v>23</v>
      </c>
      <c r="E357" t="s">
        <v>61</v>
      </c>
      <c r="F357">
        <v>21</v>
      </c>
      <c r="G357">
        <v>2</v>
      </c>
      <c r="H357">
        <v>1</v>
      </c>
    </row>
    <row r="358" spans="1:9" s="6" customFormat="1" x14ac:dyDescent="0.35">
      <c r="A358" s="6" t="s">
        <v>2</v>
      </c>
      <c r="B358" s="6">
        <v>9.5</v>
      </c>
      <c r="C358" s="6">
        <v>90</v>
      </c>
      <c r="I358" s="6">
        <f>(G357*H357)</f>
        <v>2</v>
      </c>
    </row>
    <row r="360" spans="1:9" x14ac:dyDescent="0.35">
      <c r="A360" t="s">
        <v>3</v>
      </c>
      <c r="B360">
        <v>7.5</v>
      </c>
      <c r="C360">
        <v>70</v>
      </c>
      <c r="D360" t="s">
        <v>22</v>
      </c>
      <c r="E360" t="s">
        <v>29</v>
      </c>
      <c r="F360" t="s">
        <v>59</v>
      </c>
      <c r="G360">
        <v>2</v>
      </c>
      <c r="H360">
        <v>1</v>
      </c>
    </row>
    <row r="361" spans="1:9" s="6" customFormat="1" x14ac:dyDescent="0.35">
      <c r="A361" s="6" t="s">
        <v>3</v>
      </c>
      <c r="B361" s="6">
        <v>7.5</v>
      </c>
      <c r="C361" s="6">
        <v>70</v>
      </c>
      <c r="I361" s="6">
        <f>(G360*H360)</f>
        <v>2</v>
      </c>
    </row>
    <row r="363" spans="1:9" x14ac:dyDescent="0.35">
      <c r="A363" t="s">
        <v>3</v>
      </c>
      <c r="B363">
        <v>7.5</v>
      </c>
      <c r="C363">
        <v>80</v>
      </c>
      <c r="D363" t="s">
        <v>23</v>
      </c>
      <c r="E363" t="s">
        <v>30</v>
      </c>
      <c r="F363" t="s">
        <v>59</v>
      </c>
      <c r="G363">
        <v>2</v>
      </c>
      <c r="H363">
        <v>1</v>
      </c>
    </row>
    <row r="364" spans="1:9" s="6" customFormat="1" x14ac:dyDescent="0.35">
      <c r="A364" s="6" t="s">
        <v>3</v>
      </c>
      <c r="B364" s="6">
        <v>7.5</v>
      </c>
      <c r="C364" s="6">
        <v>80</v>
      </c>
      <c r="I364" s="6">
        <f>(G363*H363)</f>
        <v>2</v>
      </c>
    </row>
    <row r="366" spans="1:9" x14ac:dyDescent="0.35">
      <c r="A366" t="s">
        <v>3</v>
      </c>
      <c r="B366">
        <v>7.5</v>
      </c>
      <c r="C366">
        <v>90</v>
      </c>
      <c r="D366" t="s">
        <v>24</v>
      </c>
      <c r="E366" t="s">
        <v>31</v>
      </c>
      <c r="F366" t="s">
        <v>59</v>
      </c>
      <c r="G366">
        <v>2</v>
      </c>
      <c r="H366">
        <v>1</v>
      </c>
    </row>
    <row r="367" spans="1:9" s="6" customFormat="1" x14ac:dyDescent="0.35">
      <c r="A367" s="6" t="s">
        <v>3</v>
      </c>
      <c r="B367" s="6">
        <v>7.5</v>
      </c>
      <c r="C367" s="6">
        <v>90</v>
      </c>
      <c r="I367" s="6">
        <f>(G366*H366)</f>
        <v>2</v>
      </c>
    </row>
    <row r="369" spans="1:9" x14ac:dyDescent="0.35">
      <c r="A369" t="s">
        <v>3</v>
      </c>
      <c r="B369">
        <v>8.5</v>
      </c>
      <c r="C369">
        <v>70</v>
      </c>
      <c r="D369" t="s">
        <v>25</v>
      </c>
      <c r="E369" t="s">
        <v>32</v>
      </c>
      <c r="F369" t="s">
        <v>59</v>
      </c>
      <c r="G369">
        <v>2</v>
      </c>
      <c r="H369">
        <v>1</v>
      </c>
    </row>
    <row r="370" spans="1:9" s="6" customFormat="1" x14ac:dyDescent="0.35">
      <c r="A370" s="6" t="s">
        <v>3</v>
      </c>
      <c r="B370" s="6">
        <v>8.5</v>
      </c>
      <c r="C370" s="6">
        <v>70</v>
      </c>
      <c r="I370" s="6">
        <f>(G369*H369)</f>
        <v>2</v>
      </c>
    </row>
    <row r="372" spans="1:9" x14ac:dyDescent="0.35">
      <c r="A372" t="s">
        <v>3</v>
      </c>
      <c r="B372">
        <v>8.5</v>
      </c>
      <c r="C372">
        <v>80</v>
      </c>
      <c r="D372" t="s">
        <v>26</v>
      </c>
      <c r="E372" t="s">
        <v>33</v>
      </c>
      <c r="F372" t="s">
        <v>59</v>
      </c>
      <c r="G372">
        <v>2</v>
      </c>
      <c r="H372">
        <v>1</v>
      </c>
    </row>
    <row r="373" spans="1:9" s="6" customFormat="1" x14ac:dyDescent="0.35">
      <c r="A373" s="6" t="s">
        <v>3</v>
      </c>
      <c r="B373" s="6">
        <v>8.5</v>
      </c>
      <c r="C373" s="6">
        <v>80</v>
      </c>
      <c r="I373" s="6">
        <f>(G372*H372)</f>
        <v>2</v>
      </c>
    </row>
    <row r="375" spans="1:9" x14ac:dyDescent="0.35">
      <c r="A375" t="s">
        <v>3</v>
      </c>
      <c r="B375">
        <v>8.5</v>
      </c>
      <c r="C375">
        <v>90</v>
      </c>
      <c r="D375" t="s">
        <v>27</v>
      </c>
      <c r="E375" t="s">
        <v>34</v>
      </c>
      <c r="F375" t="s">
        <v>59</v>
      </c>
      <c r="G375">
        <v>2</v>
      </c>
      <c r="H375">
        <v>1</v>
      </c>
    </row>
    <row r="376" spans="1:9" s="6" customFormat="1" x14ac:dyDescent="0.35">
      <c r="A376" s="6" t="s">
        <v>3</v>
      </c>
      <c r="B376" s="6">
        <v>8.5</v>
      </c>
      <c r="C376" s="6">
        <v>90</v>
      </c>
      <c r="I376" s="6">
        <f>(G375*H375)</f>
        <v>2</v>
      </c>
    </row>
    <row r="378" spans="1:9" x14ac:dyDescent="0.35">
      <c r="A378" t="s">
        <v>78</v>
      </c>
      <c r="B378">
        <v>5</v>
      </c>
      <c r="C378">
        <v>25</v>
      </c>
      <c r="D378" t="s">
        <v>79</v>
      </c>
      <c r="E378" t="s">
        <v>80</v>
      </c>
      <c r="F378" t="s">
        <v>59</v>
      </c>
      <c r="G378">
        <v>2</v>
      </c>
      <c r="H378">
        <v>1</v>
      </c>
      <c r="I378">
        <v>2</v>
      </c>
    </row>
    <row r="379" spans="1:9" s="8" customFormat="1" x14ac:dyDescent="0.35">
      <c r="A379" s="8" t="s">
        <v>78</v>
      </c>
      <c r="B379" s="8">
        <v>5</v>
      </c>
      <c r="C379" s="8">
        <v>25</v>
      </c>
      <c r="I379" s="8">
        <v>2</v>
      </c>
    </row>
    <row r="381" spans="1:9" x14ac:dyDescent="0.35">
      <c r="A381" t="s">
        <v>78</v>
      </c>
      <c r="B381">
        <v>5</v>
      </c>
      <c r="C381">
        <v>30</v>
      </c>
      <c r="D381" t="s">
        <v>79</v>
      </c>
      <c r="E381" t="s">
        <v>80</v>
      </c>
      <c r="F381" t="s">
        <v>59</v>
      </c>
      <c r="G381">
        <v>2</v>
      </c>
      <c r="H381">
        <v>1</v>
      </c>
      <c r="I381">
        <v>2</v>
      </c>
    </row>
    <row r="382" spans="1:9" s="8" customFormat="1" x14ac:dyDescent="0.35">
      <c r="A382" s="8" t="s">
        <v>78</v>
      </c>
      <c r="B382" s="8">
        <v>5</v>
      </c>
      <c r="C382" s="8">
        <v>30</v>
      </c>
      <c r="I382" s="8">
        <v>2</v>
      </c>
    </row>
    <row r="384" spans="1:9" x14ac:dyDescent="0.35">
      <c r="A384" t="s">
        <v>78</v>
      </c>
      <c r="B384">
        <v>5.5</v>
      </c>
      <c r="C384">
        <v>25</v>
      </c>
      <c r="D384" t="s">
        <v>79</v>
      </c>
      <c r="E384" t="s">
        <v>80</v>
      </c>
      <c r="F384" t="s">
        <v>59</v>
      </c>
      <c r="G384">
        <v>2</v>
      </c>
      <c r="H384">
        <v>1</v>
      </c>
      <c r="I384">
        <v>2</v>
      </c>
    </row>
    <row r="385" spans="1:9" s="8" customFormat="1" x14ac:dyDescent="0.35">
      <c r="A385" s="8" t="s">
        <v>78</v>
      </c>
      <c r="B385" s="8">
        <v>5.5</v>
      </c>
      <c r="C385" s="8">
        <v>25</v>
      </c>
      <c r="I385" s="8">
        <v>2</v>
      </c>
    </row>
    <row r="387" spans="1:9" x14ac:dyDescent="0.35">
      <c r="A387" t="s">
        <v>78</v>
      </c>
      <c r="B387">
        <v>5.5</v>
      </c>
      <c r="C387">
        <v>30</v>
      </c>
      <c r="D387" t="s">
        <v>79</v>
      </c>
      <c r="E387" t="s">
        <v>80</v>
      </c>
      <c r="F387" t="s">
        <v>59</v>
      </c>
      <c r="G387">
        <v>2</v>
      </c>
      <c r="H387">
        <v>1</v>
      </c>
      <c r="I387">
        <v>2</v>
      </c>
    </row>
    <row r="388" spans="1:9" s="8" customFormat="1" x14ac:dyDescent="0.35">
      <c r="A388" s="8" t="s">
        <v>78</v>
      </c>
      <c r="B388" s="8">
        <v>5.5</v>
      </c>
      <c r="C388" s="8">
        <v>30</v>
      </c>
      <c r="I388" s="8">
        <v>2</v>
      </c>
    </row>
    <row r="389" spans="1:9" s="12" customFormat="1" x14ac:dyDescent="0.35"/>
    <row r="390" spans="1:9" x14ac:dyDescent="0.35">
      <c r="A390" t="s">
        <v>78</v>
      </c>
      <c r="B390">
        <v>5.5</v>
      </c>
      <c r="C390">
        <v>35</v>
      </c>
      <c r="D390" t="s">
        <v>79</v>
      </c>
      <c r="E390" t="s">
        <v>80</v>
      </c>
      <c r="F390" t="s">
        <v>59</v>
      </c>
      <c r="G390">
        <v>2</v>
      </c>
      <c r="H390">
        <v>1</v>
      </c>
      <c r="I390">
        <v>2</v>
      </c>
    </row>
    <row r="391" spans="1:9" s="8" customFormat="1" x14ac:dyDescent="0.35">
      <c r="A391" s="8" t="s">
        <v>78</v>
      </c>
      <c r="B391" s="8">
        <v>5.5</v>
      </c>
      <c r="C391" s="8">
        <v>35</v>
      </c>
      <c r="I391" s="8">
        <v>2</v>
      </c>
    </row>
    <row r="392" spans="1:9" s="12" customFormat="1" x14ac:dyDescent="0.35"/>
    <row r="393" spans="1:9" x14ac:dyDescent="0.35">
      <c r="A393" t="s">
        <v>78</v>
      </c>
      <c r="B393">
        <v>5.5</v>
      </c>
      <c r="C393">
        <v>40</v>
      </c>
      <c r="D393" t="s">
        <v>79</v>
      </c>
      <c r="E393" t="s">
        <v>80</v>
      </c>
      <c r="F393" t="s">
        <v>59</v>
      </c>
      <c r="G393">
        <v>2</v>
      </c>
      <c r="H393">
        <v>1</v>
      </c>
      <c r="I393">
        <v>2</v>
      </c>
    </row>
    <row r="394" spans="1:9" s="8" customFormat="1" x14ac:dyDescent="0.35">
      <c r="A394" s="8" t="s">
        <v>78</v>
      </c>
      <c r="B394" s="8">
        <v>5.5</v>
      </c>
      <c r="C394" s="8">
        <v>40</v>
      </c>
      <c r="I394" s="8">
        <v>2</v>
      </c>
    </row>
    <row r="397" spans="1:9" x14ac:dyDescent="0.35">
      <c r="A397" t="s">
        <v>78</v>
      </c>
      <c r="B397">
        <v>6.5</v>
      </c>
      <c r="C397">
        <v>30</v>
      </c>
      <c r="D397" t="s">
        <v>79</v>
      </c>
      <c r="E397" t="s">
        <v>80</v>
      </c>
      <c r="F397" t="s">
        <v>59</v>
      </c>
      <c r="G397">
        <v>2</v>
      </c>
      <c r="H397">
        <v>1</v>
      </c>
      <c r="I397">
        <v>2</v>
      </c>
    </row>
    <row r="398" spans="1:9" s="8" customFormat="1" x14ac:dyDescent="0.35">
      <c r="A398" s="8" t="s">
        <v>78</v>
      </c>
      <c r="B398" s="8">
        <v>6.5</v>
      </c>
      <c r="C398" s="8">
        <v>30</v>
      </c>
      <c r="I398" s="8">
        <v>2</v>
      </c>
    </row>
    <row r="400" spans="1:9" x14ac:dyDescent="0.35">
      <c r="A400" t="s">
        <v>78</v>
      </c>
      <c r="B400">
        <v>6.5</v>
      </c>
      <c r="C400">
        <v>35</v>
      </c>
      <c r="D400" t="s">
        <v>79</v>
      </c>
      <c r="E400" t="s">
        <v>80</v>
      </c>
      <c r="F400" t="s">
        <v>59</v>
      </c>
      <c r="G400">
        <v>2</v>
      </c>
      <c r="H400">
        <v>1</v>
      </c>
      <c r="I400">
        <v>2</v>
      </c>
    </row>
    <row r="401" spans="1:9" s="8" customFormat="1" x14ac:dyDescent="0.35">
      <c r="A401" s="8" t="s">
        <v>78</v>
      </c>
      <c r="B401" s="8">
        <v>6.5</v>
      </c>
      <c r="C401" s="8">
        <v>35</v>
      </c>
      <c r="I401" s="8">
        <v>2</v>
      </c>
    </row>
    <row r="403" spans="1:9" x14ac:dyDescent="0.35">
      <c r="A403" t="s">
        <v>78</v>
      </c>
      <c r="B403">
        <v>6.5</v>
      </c>
      <c r="C403">
        <v>40</v>
      </c>
      <c r="D403" t="s">
        <v>79</v>
      </c>
      <c r="E403" t="s">
        <v>80</v>
      </c>
      <c r="F403" t="s">
        <v>59</v>
      </c>
      <c r="G403">
        <v>2</v>
      </c>
      <c r="H403">
        <v>1</v>
      </c>
      <c r="I403">
        <v>2</v>
      </c>
    </row>
    <row r="404" spans="1:9" s="8" customFormat="1" x14ac:dyDescent="0.35">
      <c r="A404" s="8" t="s">
        <v>78</v>
      </c>
      <c r="B404" s="8">
        <v>6.5</v>
      </c>
      <c r="C404" s="8">
        <v>40</v>
      </c>
      <c r="I404" s="8">
        <v>2</v>
      </c>
    </row>
    <row r="406" spans="1:9" x14ac:dyDescent="0.35">
      <c r="A406" t="s">
        <v>78</v>
      </c>
      <c r="B406">
        <v>6.5</v>
      </c>
      <c r="C406">
        <v>45</v>
      </c>
      <c r="D406" t="s">
        <v>79</v>
      </c>
      <c r="E406" t="s">
        <v>80</v>
      </c>
      <c r="F406" t="s">
        <v>59</v>
      </c>
      <c r="G406">
        <v>2</v>
      </c>
      <c r="H406">
        <v>1</v>
      </c>
      <c r="I406">
        <v>2</v>
      </c>
    </row>
    <row r="407" spans="1:9" s="8" customFormat="1" x14ac:dyDescent="0.35">
      <c r="A407" s="8" t="s">
        <v>78</v>
      </c>
      <c r="B407" s="8">
        <v>6.5</v>
      </c>
      <c r="C407" s="8">
        <v>45</v>
      </c>
      <c r="I407" s="8">
        <v>2</v>
      </c>
    </row>
    <row r="409" spans="1:9" x14ac:dyDescent="0.35">
      <c r="A409" t="s">
        <v>78</v>
      </c>
      <c r="B409">
        <v>7.5</v>
      </c>
      <c r="C409">
        <v>30</v>
      </c>
      <c r="D409" t="s">
        <v>79</v>
      </c>
      <c r="E409" t="s">
        <v>80</v>
      </c>
      <c r="F409" t="s">
        <v>59</v>
      </c>
      <c r="G409">
        <v>2</v>
      </c>
      <c r="H409">
        <v>1</v>
      </c>
      <c r="I409">
        <v>2</v>
      </c>
    </row>
    <row r="410" spans="1:9" s="8" customFormat="1" x14ac:dyDescent="0.35">
      <c r="A410" s="8" t="s">
        <v>78</v>
      </c>
      <c r="B410" s="8">
        <v>7.5</v>
      </c>
      <c r="C410" s="8">
        <v>30</v>
      </c>
      <c r="I410" s="8">
        <v>2</v>
      </c>
    </row>
    <row r="412" spans="1:9" x14ac:dyDescent="0.35">
      <c r="A412" t="s">
        <v>78</v>
      </c>
      <c r="B412">
        <v>7.5</v>
      </c>
      <c r="C412">
        <v>35</v>
      </c>
      <c r="D412" t="s">
        <v>79</v>
      </c>
      <c r="E412" t="s">
        <v>80</v>
      </c>
      <c r="F412" t="s">
        <v>59</v>
      </c>
      <c r="G412">
        <v>2</v>
      </c>
      <c r="H412">
        <v>1</v>
      </c>
      <c r="I412">
        <v>2</v>
      </c>
    </row>
    <row r="413" spans="1:9" s="8" customFormat="1" x14ac:dyDescent="0.35">
      <c r="A413" s="8" t="s">
        <v>78</v>
      </c>
      <c r="B413" s="8">
        <v>7.5</v>
      </c>
      <c r="C413" s="8">
        <v>35</v>
      </c>
      <c r="I413" s="8">
        <v>2</v>
      </c>
    </row>
    <row r="415" spans="1:9" x14ac:dyDescent="0.35">
      <c r="A415" t="s">
        <v>78</v>
      </c>
      <c r="B415">
        <v>7.5</v>
      </c>
      <c r="C415">
        <v>40</v>
      </c>
      <c r="D415" t="s">
        <v>79</v>
      </c>
      <c r="E415" t="s">
        <v>80</v>
      </c>
      <c r="F415" t="s">
        <v>59</v>
      </c>
      <c r="G415">
        <v>2</v>
      </c>
      <c r="H415">
        <v>1</v>
      </c>
      <c r="I415">
        <v>2</v>
      </c>
    </row>
    <row r="416" spans="1:9" s="8" customFormat="1" x14ac:dyDescent="0.35">
      <c r="A416" s="8" t="s">
        <v>78</v>
      </c>
      <c r="B416" s="8">
        <v>7.5</v>
      </c>
      <c r="C416" s="8">
        <v>40</v>
      </c>
      <c r="I416" s="8">
        <v>2</v>
      </c>
    </row>
    <row r="418" spans="1:9" x14ac:dyDescent="0.35">
      <c r="A418" t="s">
        <v>78</v>
      </c>
      <c r="B418">
        <v>7.5</v>
      </c>
      <c r="C418">
        <v>45</v>
      </c>
      <c r="D418" t="s">
        <v>79</v>
      </c>
      <c r="E418" t="s">
        <v>80</v>
      </c>
      <c r="F418" t="s">
        <v>59</v>
      </c>
      <c r="G418">
        <v>2</v>
      </c>
      <c r="H418">
        <v>1</v>
      </c>
      <c r="I418">
        <v>2</v>
      </c>
    </row>
    <row r="419" spans="1:9" s="8" customFormat="1" x14ac:dyDescent="0.35">
      <c r="A419" s="8" t="s">
        <v>78</v>
      </c>
      <c r="B419" s="8">
        <v>7.5</v>
      </c>
      <c r="C419" s="8">
        <v>45</v>
      </c>
      <c r="I419" s="8">
        <v>2</v>
      </c>
    </row>
  </sheetData>
  <sortState xmlns:xlrd2="http://schemas.microsoft.com/office/spreadsheetml/2017/richdata2" ref="A23:I357">
    <sortCondition ref="A23:A357"/>
  </sortState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1FEF2-8818-46A0-AF67-FE5C52E4694E}">
  <dimension ref="A1:C10"/>
  <sheetViews>
    <sheetView workbookViewId="0">
      <selection activeCell="A10" sqref="A10"/>
    </sheetView>
  </sheetViews>
  <sheetFormatPr defaultRowHeight="14.5" x14ac:dyDescent="0.35"/>
  <cols>
    <col min="1" max="1" width="35.08984375" customWidth="1"/>
    <col min="2" max="2" width="34.1796875" customWidth="1"/>
    <col min="3" max="3" width="15.26953125" customWidth="1"/>
  </cols>
  <sheetData>
    <row r="1" spans="1:3" x14ac:dyDescent="0.35">
      <c r="A1" t="s">
        <v>64</v>
      </c>
      <c r="B1" t="s">
        <v>65</v>
      </c>
      <c r="C1" t="s">
        <v>66</v>
      </c>
    </row>
    <row r="2" spans="1:3" x14ac:dyDescent="0.35">
      <c r="A2" s="3" t="s">
        <v>54</v>
      </c>
      <c r="B2" t="s">
        <v>67</v>
      </c>
      <c r="C2" t="s">
        <v>68</v>
      </c>
    </row>
    <row r="3" spans="1:3" x14ac:dyDescent="0.35">
      <c r="A3" s="9" t="s">
        <v>0</v>
      </c>
      <c r="B3" t="s">
        <v>69</v>
      </c>
    </row>
    <row r="4" spans="1:3" x14ac:dyDescent="0.35">
      <c r="A4" s="9" t="s">
        <v>1</v>
      </c>
      <c r="B4" t="s">
        <v>70</v>
      </c>
    </row>
    <row r="5" spans="1:3" x14ac:dyDescent="0.35">
      <c r="A5" s="10" t="s">
        <v>5</v>
      </c>
      <c r="B5" t="s">
        <v>71</v>
      </c>
    </row>
    <row r="6" spans="1:3" x14ac:dyDescent="0.35">
      <c r="A6" s="10" t="s">
        <v>28</v>
      </c>
      <c r="B6" t="s">
        <v>72</v>
      </c>
    </row>
    <row r="7" spans="1:3" x14ac:dyDescent="0.35">
      <c r="A7" s="11" t="s">
        <v>4</v>
      </c>
      <c r="B7" t="s">
        <v>73</v>
      </c>
    </row>
    <row r="8" spans="1:3" x14ac:dyDescent="0.35">
      <c r="A8" s="11" t="s">
        <v>8</v>
      </c>
      <c r="B8" t="s">
        <v>74</v>
      </c>
    </row>
    <row r="9" spans="1:3" x14ac:dyDescent="0.35">
      <c r="A9" s="10" t="s">
        <v>9</v>
      </c>
      <c r="B9" t="s">
        <v>75</v>
      </c>
    </row>
    <row r="10" spans="1:3" x14ac:dyDescent="0.35">
      <c r="A10" s="10" t="s">
        <v>63</v>
      </c>
      <c r="B10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Screw Options</vt:lpstr>
      <vt:lpstr>Column 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Camp</dc:creator>
  <cp:lastModifiedBy>Mark Camp</cp:lastModifiedBy>
  <dcterms:created xsi:type="dcterms:W3CDTF">2025-05-19T15:26:02Z</dcterms:created>
  <dcterms:modified xsi:type="dcterms:W3CDTF">2025-09-19T01:53:06Z</dcterms:modified>
</cp:coreProperties>
</file>